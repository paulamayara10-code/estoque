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 autoCompressPictures="0"/>
  <mc:AlternateContent xmlns:mc="http://schemas.openxmlformats.org/markup-compatibility/2006">
    <mc:Choice Requires="x15">
      <x15ac:absPath xmlns:x15ac="http://schemas.microsoft.com/office/spreadsheetml/2010/11/ac" url="O:\Produtos\Micro-Tech\FORECAST 2026\"/>
    </mc:Choice>
  </mc:AlternateContent>
  <xr:revisionPtr revIDLastSave="0" documentId="13_ncr:1_{83CAA6A6-F94A-48E0-9AC2-83B7BF6014D1}" xr6:coauthVersionLast="47" xr6:coauthVersionMax="47" xr10:uidLastSave="{00000000-0000-0000-0000-000000000000}"/>
  <bookViews>
    <workbookView xWindow="4905" yWindow="60" windowWidth="22035" windowHeight="15045" tabRatio="500" xr2:uid="{00000000-000D-0000-FFFF-FFFF00000000}"/>
  </bookViews>
  <sheets>
    <sheet name="Distributor Snapshot" sheetId="7" r:id="rId1"/>
    <sheet name="Purchases vs Sell Out" sheetId="12" r:id="rId2"/>
    <sheet name="Rolling Forecast" sheetId="9" r:id="rId3"/>
    <sheet name="Sales Hist by FAMILY QTY" sheetId="14" r:id="rId4"/>
    <sheet name="Sales by SKU - QTY" sheetId="16" r:id="rId5"/>
    <sheet name="Sales by SKU - $" sheetId="17" r:id="rId6"/>
  </sheets>
  <definedNames>
    <definedName name="_xlnm._FilterDatabase" localSheetId="2" hidden="1">'Rolling Forecast'!$A$5:$AE$159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8" i="9" l="1"/>
  <c r="H28" i="12"/>
  <c r="I28" i="12"/>
  <c r="J28" i="12"/>
  <c r="G28" i="12"/>
  <c r="J14" i="12"/>
  <c r="I14" i="12"/>
  <c r="H14" i="12"/>
  <c r="J13" i="12"/>
  <c r="J31" i="12" s="1"/>
  <c r="I13" i="12"/>
  <c r="I31" i="12" s="1"/>
  <c r="J27" i="12"/>
  <c r="J32" i="12" s="1"/>
  <c r="B27" i="12" l="1"/>
  <c r="AD30" i="9" l="1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3" i="9"/>
  <c r="W64" i="9"/>
  <c r="W65" i="9"/>
  <c r="W66" i="9"/>
  <c r="W67" i="9"/>
  <c r="W68" i="9"/>
  <c r="W69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1" i="9"/>
  <c r="W112" i="9"/>
  <c r="W113" i="9"/>
  <c r="W115" i="9"/>
  <c r="W116" i="9"/>
  <c r="W117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3" i="9"/>
  <c r="P64" i="9"/>
  <c r="P65" i="9"/>
  <c r="P66" i="9"/>
  <c r="P67" i="9"/>
  <c r="P68" i="9"/>
  <c r="P69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1" i="9"/>
  <c r="P112" i="9"/>
  <c r="P113" i="9"/>
  <c r="P115" i="9"/>
  <c r="P116" i="9"/>
  <c r="P117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I27" i="12"/>
  <c r="I32" i="12" s="1"/>
  <c r="H27" i="12"/>
  <c r="G27" i="12"/>
  <c r="F27" i="12"/>
  <c r="C30" i="12" l="1"/>
  <c r="D30" i="12"/>
  <c r="E30" i="12"/>
  <c r="F30" i="12"/>
  <c r="G30" i="12"/>
  <c r="H30" i="12"/>
  <c r="I30" i="12"/>
  <c r="B30" i="12"/>
  <c r="AD14" i="9"/>
  <c r="W14" i="9"/>
  <c r="P14" i="9"/>
  <c r="I14" i="9"/>
  <c r="AD159" i="9"/>
  <c r="AD158" i="9"/>
  <c r="AD157" i="9"/>
  <c r="AD156" i="9"/>
  <c r="AD155" i="9"/>
  <c r="AD154" i="9"/>
  <c r="AD153" i="9"/>
  <c r="AD152" i="9"/>
  <c r="AD151" i="9"/>
  <c r="AD150" i="9"/>
  <c r="AD149" i="9"/>
  <c r="AD148" i="9"/>
  <c r="AD147" i="9"/>
  <c r="AD146" i="9"/>
  <c r="AD145" i="9"/>
  <c r="AD144" i="9"/>
  <c r="AD143" i="9"/>
  <c r="AD142" i="9"/>
  <c r="AD141" i="9"/>
  <c r="AD140" i="9"/>
  <c r="AD139" i="9"/>
  <c r="AD138" i="9"/>
  <c r="AD136" i="9"/>
  <c r="AD135" i="9"/>
  <c r="AD134" i="9"/>
  <c r="AD133" i="9"/>
  <c r="AD132" i="9"/>
  <c r="AD131" i="9"/>
  <c r="AD130" i="9"/>
  <c r="AD129" i="9"/>
  <c r="AD128" i="9"/>
  <c r="AD127" i="9"/>
  <c r="AD126" i="9"/>
  <c r="AD125" i="9"/>
  <c r="AD124" i="9"/>
  <c r="AD123" i="9"/>
  <c r="AD122" i="9"/>
  <c r="AD121" i="9"/>
  <c r="AD120" i="9"/>
  <c r="AD117" i="9"/>
  <c r="AD116" i="9"/>
  <c r="AD115" i="9"/>
  <c r="AD113" i="9"/>
  <c r="AD112" i="9"/>
  <c r="AD111" i="9"/>
  <c r="AD109" i="9"/>
  <c r="AD108" i="9"/>
  <c r="AD107" i="9"/>
  <c r="AD106" i="9"/>
  <c r="AD105" i="9"/>
  <c r="AD104" i="9"/>
  <c r="AD103" i="9"/>
  <c r="AD102" i="9"/>
  <c r="AD101" i="9"/>
  <c r="AD100" i="9"/>
  <c r="AD99" i="9"/>
  <c r="AD98" i="9"/>
  <c r="AD97" i="9"/>
  <c r="AD96" i="9"/>
  <c r="AD95" i="9"/>
  <c r="AD94" i="9"/>
  <c r="AD93" i="9"/>
  <c r="AD92" i="9"/>
  <c r="AD91" i="9"/>
  <c r="AD90" i="9"/>
  <c r="AD89" i="9"/>
  <c r="AD88" i="9"/>
  <c r="AD87" i="9"/>
  <c r="AD86" i="9"/>
  <c r="AD85" i="9"/>
  <c r="AD84" i="9"/>
  <c r="AD83" i="9"/>
  <c r="AD82" i="9"/>
  <c r="AD81" i="9"/>
  <c r="AD80" i="9"/>
  <c r="AD79" i="9"/>
  <c r="AD78" i="9"/>
  <c r="AD77" i="9"/>
  <c r="AD76" i="9"/>
  <c r="AD75" i="9"/>
  <c r="AD74" i="9"/>
  <c r="AD73" i="9"/>
  <c r="AD72" i="9"/>
  <c r="AD71" i="9"/>
  <c r="AD69" i="9"/>
  <c r="AD68" i="9"/>
  <c r="AD67" i="9"/>
  <c r="AD66" i="9"/>
  <c r="AD65" i="9"/>
  <c r="AD64" i="9"/>
  <c r="AD63" i="9"/>
  <c r="AD61" i="9"/>
  <c r="AD60" i="9"/>
  <c r="AE30" i="9"/>
  <c r="AD29" i="9"/>
  <c r="AD28" i="9"/>
  <c r="AD27" i="9"/>
  <c r="AD26" i="9"/>
  <c r="AD25" i="9"/>
  <c r="AD24" i="9"/>
  <c r="AD23" i="9"/>
  <c r="AD22" i="9"/>
  <c r="AD21" i="9"/>
  <c r="AD20" i="9"/>
  <c r="AD19" i="9"/>
  <c r="AD18" i="9"/>
  <c r="AD17" i="9"/>
  <c r="AD16" i="9"/>
  <c r="AD15" i="9"/>
  <c r="AD13" i="9"/>
  <c r="AD12" i="9"/>
  <c r="AD11" i="9"/>
  <c r="AD10" i="9"/>
  <c r="AD9" i="9"/>
  <c r="AD8" i="9"/>
  <c r="AD7" i="9"/>
  <c r="AD6" i="9"/>
  <c r="W6" i="9"/>
  <c r="W7" i="9"/>
  <c r="W8" i="9"/>
  <c r="W9" i="9"/>
  <c r="W10" i="9"/>
  <c r="W11" i="9"/>
  <c r="W12" i="9"/>
  <c r="W13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3" i="9"/>
  <c r="P12" i="9"/>
  <c r="P11" i="9"/>
  <c r="P10" i="9"/>
  <c r="P9" i="9"/>
  <c r="P8" i="9"/>
  <c r="P7" i="9"/>
  <c r="P6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7" i="9"/>
  <c r="I116" i="9"/>
  <c r="I115" i="9"/>
  <c r="I113" i="9"/>
  <c r="I112" i="9"/>
  <c r="I111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6" i="9"/>
  <c r="I85" i="9"/>
  <c r="I84" i="9"/>
  <c r="I79" i="9"/>
  <c r="I78" i="9"/>
  <c r="I72" i="9"/>
  <c r="I71" i="9"/>
  <c r="I69" i="9"/>
  <c r="I64" i="9"/>
  <c r="I63" i="9"/>
  <c r="I61" i="9"/>
  <c r="I60" i="9"/>
  <c r="I28" i="9"/>
  <c r="I27" i="9"/>
  <c r="I26" i="9"/>
  <c r="I21" i="9"/>
  <c r="I20" i="9"/>
  <c r="I19" i="9"/>
  <c r="I18" i="9"/>
  <c r="I13" i="9"/>
  <c r="I12" i="9"/>
  <c r="I89" i="9"/>
  <c r="I88" i="9"/>
  <c r="I87" i="9"/>
  <c r="I83" i="9"/>
  <c r="I82" i="9"/>
  <c r="I81" i="9"/>
  <c r="I80" i="9"/>
  <c r="I75" i="9"/>
  <c r="I74" i="9"/>
  <c r="I73" i="9"/>
  <c r="I68" i="9"/>
  <c r="I67" i="9"/>
  <c r="I66" i="9"/>
  <c r="I65" i="9"/>
  <c r="I29" i="9"/>
  <c r="I25" i="9"/>
  <c r="I24" i="9"/>
  <c r="I23" i="9"/>
  <c r="I22" i="9"/>
  <c r="I17" i="9"/>
  <c r="I16" i="9"/>
  <c r="I15" i="9"/>
  <c r="I11" i="9"/>
  <c r="I10" i="9"/>
  <c r="I9" i="9"/>
  <c r="I8" i="9"/>
  <c r="I7" i="9"/>
  <c r="I6" i="9"/>
  <c r="H13" i="12"/>
  <c r="H31" i="12" s="1"/>
  <c r="G13" i="12"/>
  <c r="G31" i="12" s="1"/>
  <c r="F13" i="12"/>
  <c r="F31" i="12" s="1"/>
  <c r="E13" i="12"/>
  <c r="E31" i="12" s="1"/>
  <c r="D13" i="12"/>
  <c r="D31" i="12" s="1"/>
  <c r="C13" i="12"/>
  <c r="C31" i="12" s="1"/>
  <c r="B13" i="12"/>
  <c r="B31" i="12" s="1"/>
  <c r="H32" i="12"/>
  <c r="G32" i="12"/>
  <c r="F32" i="12"/>
  <c r="E27" i="12"/>
  <c r="E32" i="12" s="1"/>
  <c r="D27" i="12"/>
  <c r="D32" i="12" s="1"/>
  <c r="C27" i="12"/>
  <c r="C32" i="12" s="1"/>
  <c r="B32" i="12"/>
  <c r="AE113" i="9" l="1"/>
  <c r="AE13" i="9"/>
  <c r="AE159" i="9"/>
  <c r="AE150" i="9"/>
  <c r="AE105" i="9"/>
  <c r="AE81" i="9"/>
  <c r="AE8" i="9"/>
  <c r="AE138" i="9"/>
  <c r="AE148" i="9"/>
  <c r="AE22" i="9"/>
  <c r="AE72" i="9"/>
  <c r="AE112" i="9"/>
  <c r="AE103" i="9"/>
  <c r="AE7" i="9"/>
  <c r="AE29" i="9"/>
  <c r="AE17" i="9"/>
  <c r="AE33" i="9"/>
  <c r="AE41" i="9"/>
  <c r="AE57" i="9"/>
  <c r="AE75" i="9"/>
  <c r="AE83" i="9"/>
  <c r="AE91" i="9"/>
  <c r="AE99" i="9"/>
  <c r="AE107" i="9"/>
  <c r="AE117" i="9"/>
  <c r="AE127" i="9"/>
  <c r="AE135" i="9"/>
  <c r="AE144" i="9"/>
  <c r="AE153" i="9"/>
  <c r="AE42" i="9"/>
  <c r="AE58" i="9"/>
  <c r="AE76" i="9"/>
  <c r="AE84" i="9"/>
  <c r="AE92" i="9"/>
  <c r="AE100" i="9"/>
  <c r="AE108" i="9"/>
  <c r="AE120" i="9"/>
  <c r="AE136" i="9"/>
  <c r="AE154" i="9"/>
  <c r="AE88" i="9"/>
  <c r="AE87" i="9"/>
  <c r="AE21" i="9"/>
  <c r="AE37" i="9"/>
  <c r="AE45" i="9"/>
  <c r="AE53" i="9"/>
  <c r="AE61" i="9"/>
  <c r="AE95" i="9"/>
  <c r="AE123" i="9"/>
  <c r="AE140" i="9"/>
  <c r="AE157" i="9"/>
  <c r="AE10" i="9"/>
  <c r="AE19" i="9"/>
  <c r="AE27" i="9"/>
  <c r="AE35" i="9"/>
  <c r="AE43" i="9"/>
  <c r="AE51" i="9"/>
  <c r="AE59" i="9"/>
  <c r="AE68" i="9"/>
  <c r="AE85" i="9"/>
  <c r="AE93" i="9"/>
  <c r="AE101" i="9"/>
  <c r="AE109" i="9"/>
  <c r="AE121" i="9"/>
  <c r="AE129" i="9"/>
  <c r="AE146" i="9"/>
  <c r="AE155" i="9"/>
  <c r="AE54" i="9"/>
  <c r="AE46" i="9"/>
  <c r="AE63" i="9"/>
  <c r="AE96" i="9"/>
  <c r="AE104" i="9"/>
  <c r="AE124" i="9"/>
  <c r="AE66" i="9"/>
  <c r="AE49" i="9"/>
  <c r="AE25" i="9"/>
  <c r="AE11" i="9"/>
  <c r="AE6" i="9"/>
  <c r="AE23" i="9"/>
  <c r="AE39" i="9"/>
  <c r="AE47" i="9"/>
  <c r="AE64" i="9"/>
  <c r="AE97" i="9"/>
  <c r="AE125" i="9"/>
  <c r="AE71" i="9"/>
  <c r="AE131" i="9"/>
  <c r="AE15" i="9"/>
  <c r="AE31" i="9"/>
  <c r="AE55" i="9"/>
  <c r="AE73" i="9"/>
  <c r="AE89" i="9"/>
  <c r="AE115" i="9"/>
  <c r="AE133" i="9"/>
  <c r="AE142" i="9"/>
  <c r="AE16" i="9"/>
  <c r="AE24" i="9"/>
  <c r="AE32" i="9"/>
  <c r="AE40" i="9"/>
  <c r="AE48" i="9"/>
  <c r="AE56" i="9"/>
  <c r="AE65" i="9"/>
  <c r="AE74" i="9"/>
  <c r="AE82" i="9"/>
  <c r="AE90" i="9"/>
  <c r="AE98" i="9"/>
  <c r="AE106" i="9"/>
  <c r="AE116" i="9"/>
  <c r="AE134" i="9"/>
  <c r="AE143" i="9"/>
  <c r="AE151" i="9"/>
  <c r="AE152" i="9"/>
  <c r="AE50" i="9"/>
  <c r="AE9" i="9"/>
  <c r="AE20" i="9"/>
  <c r="AE28" i="9"/>
  <c r="AE36" i="9"/>
  <c r="AE44" i="9"/>
  <c r="AE52" i="9"/>
  <c r="AE69" i="9"/>
  <c r="AE86" i="9"/>
  <c r="AE94" i="9"/>
  <c r="AE102" i="9"/>
  <c r="AE111" i="9"/>
  <c r="AE122" i="9"/>
  <c r="AE130" i="9"/>
  <c r="AE139" i="9"/>
  <c r="AE147" i="9"/>
  <c r="AE156" i="9"/>
  <c r="AE77" i="9"/>
  <c r="AE14" i="9"/>
  <c r="AE18" i="9"/>
  <c r="AE26" i="9"/>
  <c r="AE34" i="9"/>
  <c r="AE67" i="9"/>
  <c r="AE145" i="9"/>
  <c r="AE12" i="9"/>
  <c r="AE141" i="9"/>
  <c r="AE149" i="9"/>
  <c r="AE158" i="9"/>
  <c r="AE132" i="9"/>
  <c r="AE128" i="9"/>
  <c r="AE126" i="9"/>
  <c r="AE80" i="9"/>
  <c r="AE78" i="9"/>
  <c r="AE79" i="9"/>
  <c r="AE60" i="9"/>
  <c r="AE38" i="9"/>
  <c r="AE160" i="9" l="1"/>
</calcChain>
</file>

<file path=xl/sharedStrings.xml><?xml version="1.0" encoding="utf-8"?>
<sst xmlns="http://schemas.openxmlformats.org/spreadsheetml/2006/main" count="2701" uniqueCount="1954">
  <si>
    <t>Name of Distributor</t>
  </si>
  <si>
    <t>FIRST MEDICAL - Q1 2026</t>
  </si>
  <si>
    <t>Coluna1</t>
  </si>
  <si>
    <t>Coluna2</t>
  </si>
  <si>
    <t>Country</t>
  </si>
  <si>
    <t>BRAZIL</t>
  </si>
  <si>
    <t>Total FOB Market Size for GI Disposables (USD millions)</t>
  </si>
  <si>
    <t>44 million (2024)</t>
  </si>
  <si>
    <t xml:space="preserve">MT Market Share Estimate (%) </t>
  </si>
  <si>
    <t>Key Competitors and Market Share Estimate (%)</t>
  </si>
  <si>
    <t>Inventory: Current Months on Hand (MOH) – best estimate</t>
  </si>
  <si>
    <t>3 months</t>
  </si>
  <si>
    <t>Inventory: Months on Hand Goal (MOHG)</t>
  </si>
  <si>
    <t>5 months</t>
  </si>
  <si>
    <t>MOH/MOHG (%)</t>
  </si>
  <si>
    <t>A/R: Total amount outstanding</t>
  </si>
  <si>
    <t>A/R: Total amount overdue</t>
  </si>
  <si>
    <t>A/R: Total amount overdue/outstanding (line 10/9)</t>
  </si>
  <si>
    <t>Key Products for Sales Success</t>
  </si>
  <si>
    <t>Lockado, LesionHunter, GoldKnife, DAT</t>
  </si>
  <si>
    <t>Number of Sales Reps focused on MT. Dedicated to MT only or other brands as well?</t>
  </si>
  <si>
    <t xml:space="preserve">05 sales people, 04  sales back office </t>
  </si>
  <si>
    <t>Locations of sub-distributors and number of sales people selling MT. Dedicated to MT only or other brands as well?</t>
  </si>
  <si>
    <t>AC, Acre</t>
  </si>
  <si>
    <t>AL, Alagoas</t>
  </si>
  <si>
    <t>Gastrovision</t>
  </si>
  <si>
    <t>AP, Amapá</t>
  </si>
  <si>
    <t>Brasmedicalmentos</t>
  </si>
  <si>
    <t>AM, Amazonas</t>
  </si>
  <si>
    <t>Hybrida</t>
  </si>
  <si>
    <t>BA, Bahia</t>
  </si>
  <si>
    <t>Vitatec</t>
  </si>
  <si>
    <t>CE, Ceará</t>
  </si>
  <si>
    <t>DF, Distrito Federal</t>
  </si>
  <si>
    <t>D.P.S.</t>
  </si>
  <si>
    <t>ES, Espirito Santo</t>
  </si>
  <si>
    <t>Medsurgical</t>
  </si>
  <si>
    <t>GO, Goiás</t>
  </si>
  <si>
    <t>Singular</t>
  </si>
  <si>
    <t>MA, Maranhão</t>
  </si>
  <si>
    <t>in progress</t>
  </si>
  <si>
    <t>MS, Mato Grosso do Sul</t>
  </si>
  <si>
    <t>MT, Mato Grosso</t>
  </si>
  <si>
    <t>Implantare</t>
  </si>
  <si>
    <t>MG, Minas Gerais</t>
  </si>
  <si>
    <t>BH Endoscopy</t>
  </si>
  <si>
    <t>PA, Pará</t>
  </si>
  <si>
    <t>Symbitech</t>
  </si>
  <si>
    <t>PB, Paraíba</t>
  </si>
  <si>
    <t>Vital Cirurgica</t>
  </si>
  <si>
    <t>PR, Paraná</t>
  </si>
  <si>
    <t>Aldmed</t>
  </si>
  <si>
    <t>PE, Pernambuco</t>
  </si>
  <si>
    <t>PI, Piauí</t>
  </si>
  <si>
    <t>RJ, Rio de Janeiro</t>
  </si>
  <si>
    <t>ProSurgery</t>
  </si>
  <si>
    <t>RN, Rio Grande do Norte</t>
  </si>
  <si>
    <t>RS, Rio Grande do Sul</t>
  </si>
  <si>
    <t>RO, Rondônia</t>
  </si>
  <si>
    <t>RR, Roraima</t>
  </si>
  <si>
    <t>Pantanal</t>
  </si>
  <si>
    <t>SC, Santa Catarina</t>
  </si>
  <si>
    <t>SP, São Paulo</t>
  </si>
  <si>
    <t>First Medical</t>
  </si>
  <si>
    <t>SE, Sergipe</t>
  </si>
  <si>
    <t>LWM</t>
  </si>
  <si>
    <t>TO, Tocantins</t>
  </si>
  <si>
    <t>PURCHASES FROM MICROTECH</t>
  </si>
  <si>
    <t>Q1</t>
  </si>
  <si>
    <t>Q2</t>
  </si>
  <si>
    <t>Q3</t>
  </si>
  <si>
    <t>Q4</t>
  </si>
  <si>
    <t>Biopsy Forceps (Including Hot Biopsy Forceps)</t>
  </si>
  <si>
    <t>Snares ( Including Cold and hot snares)</t>
  </si>
  <si>
    <t>Hemoclips</t>
  </si>
  <si>
    <t>ERCP products (guidewires, plastic and metal stents, sphincterotomes, stone retrieval baskets, etc) (Only Biliary Metal Stents and not including dilation balloons)</t>
  </si>
  <si>
    <t>Cholangioscopy products (eyeMAX scopes, eyeMAX accessories)</t>
  </si>
  <si>
    <t>ESD and EMR products (ESD knives, Ensure coag forceps, SureTrac, DAT closure device)</t>
  </si>
  <si>
    <t>EUS needles</t>
  </si>
  <si>
    <t>Dilation Balloons</t>
  </si>
  <si>
    <t>Ligators</t>
  </si>
  <si>
    <t>Others</t>
  </si>
  <si>
    <t>TOTAL</t>
  </si>
  <si>
    <t>FIRST MEDICAL sell out</t>
  </si>
  <si>
    <t>STAR</t>
  </si>
  <si>
    <t>Purchases</t>
  </si>
  <si>
    <t>Sell out</t>
  </si>
  <si>
    <t>2026 FORECAST</t>
  </si>
  <si>
    <t>Products</t>
  </si>
  <si>
    <t>JAN</t>
  </si>
  <si>
    <t>FEB</t>
  </si>
  <si>
    <t>MAR</t>
  </si>
  <si>
    <t>ABR</t>
  </si>
  <si>
    <t>MAY</t>
  </si>
  <si>
    <t>JUN</t>
  </si>
  <si>
    <t>JUL</t>
  </si>
  <si>
    <t>AUG</t>
  </si>
  <si>
    <t>SEP</t>
  </si>
  <si>
    <t>OCT</t>
  </si>
  <si>
    <t>NOV</t>
  </si>
  <si>
    <t>DEC</t>
  </si>
  <si>
    <t>Reference Code</t>
  </si>
  <si>
    <t>Product description</t>
  </si>
  <si>
    <t>QTY</t>
  </si>
  <si>
    <t>USD</t>
  </si>
  <si>
    <t>AC01-103.A</t>
  </si>
  <si>
    <t>AC01-103.P</t>
  </si>
  <si>
    <t>AC03-102.O</t>
  </si>
  <si>
    <t>AC03-102.P</t>
  </si>
  <si>
    <t>BBP-50</t>
  </si>
  <si>
    <t>BBPA00001</t>
  </si>
  <si>
    <t>BBPA00002</t>
  </si>
  <si>
    <t>BF10006</t>
  </si>
  <si>
    <t>BF16006</t>
  </si>
  <si>
    <t>BID-15-60-01</t>
  </si>
  <si>
    <t>BPDS-31114-0705/22</t>
  </si>
  <si>
    <t>BPDS-31114-0707/22</t>
  </si>
  <si>
    <t>BPDS-31114-0710/22</t>
  </si>
  <si>
    <t>BPDS-31114-0712/22</t>
  </si>
  <si>
    <t>BPDS-31114-0715/22</t>
  </si>
  <si>
    <t>BPDS-31114-0807/22</t>
  </si>
  <si>
    <t>BPDS-31114-0810/22</t>
  </si>
  <si>
    <t>BPDS-31114-0812/22</t>
  </si>
  <si>
    <t>BPDS-31114-0815/22</t>
  </si>
  <si>
    <t>BPDS-31114-1007/22</t>
  </si>
  <si>
    <t>BPDS-31114-1010/22</t>
  </si>
  <si>
    <t>BPDS-31114-1012/22</t>
  </si>
  <si>
    <t>BPDS-31114-1015/22</t>
  </si>
  <si>
    <t>BPDS-31993-0707/22</t>
  </si>
  <si>
    <t>BPDS-31993-0710/22</t>
  </si>
  <si>
    <t>BPDS-31993-0807/22</t>
  </si>
  <si>
    <t>BPDS-31993-0810/22</t>
  </si>
  <si>
    <t>BPDS-31993-1007/22</t>
  </si>
  <si>
    <t>BPDS-31993-1010/22</t>
  </si>
  <si>
    <t>BPDS-32114-0707/22</t>
  </si>
  <si>
    <t>BPDS-32114-0710/22</t>
  </si>
  <si>
    <t>BPDS-32114-0712/22</t>
  </si>
  <si>
    <t>BPDS-32114-0807/22</t>
  </si>
  <si>
    <t>BPDS-32114-0810/22</t>
  </si>
  <si>
    <t>BPDS-32114-0812/22</t>
  </si>
  <si>
    <t>BPDS-32114-1007/22</t>
  </si>
  <si>
    <t>BPDS-32114-1010/22</t>
  </si>
  <si>
    <t>BPDS-33114-0707/22</t>
  </si>
  <si>
    <t>BPDS-33114-0710/22</t>
  </si>
  <si>
    <t>BPDS-33114-0807/22</t>
  </si>
  <si>
    <t>BPDS-33114-0810/22</t>
  </si>
  <si>
    <t>BPDS-33114-1007/22</t>
  </si>
  <si>
    <t>BPDS-33114-1010/22</t>
  </si>
  <si>
    <t>BPDS-34114-0707/22</t>
  </si>
  <si>
    <t>BPDS-34114-0710/22</t>
  </si>
  <si>
    <t>BPDS-34114-0807/22</t>
  </si>
  <si>
    <t>BPDS-34114-0810/22</t>
  </si>
  <si>
    <t>BPDS-34114-1007/22</t>
  </si>
  <si>
    <t>BPDS-34114-1010/22</t>
  </si>
  <si>
    <t>CB18-T5050/23B</t>
  </si>
  <si>
    <t>CDS11001</t>
  </si>
  <si>
    <t>CDS22001</t>
  </si>
  <si>
    <t>CEB00000</t>
  </si>
  <si>
    <t>CEB01010</t>
  </si>
  <si>
    <t>CS2-21023231</t>
  </si>
  <si>
    <t>CS2-21523231</t>
  </si>
  <si>
    <t>CS2-22023231</t>
  </si>
  <si>
    <t>CS3-11023230</t>
  </si>
  <si>
    <t>CS3-11523230</t>
  </si>
  <si>
    <t>DSP-30505-121211</t>
  </si>
  <si>
    <t>DSP-30520-111211</t>
  </si>
  <si>
    <t>DSP-30525-111211</t>
  </si>
  <si>
    <t>DSP-30530-111211</t>
  </si>
  <si>
    <t>ETS10004</t>
  </si>
  <si>
    <t>ETS00004</t>
  </si>
  <si>
    <t>ETS10006</t>
  </si>
  <si>
    <t>EUS-19-0-N</t>
  </si>
  <si>
    <t>EUS-19-1-N</t>
  </si>
  <si>
    <t>EUS-22-0-N</t>
  </si>
  <si>
    <t>EUS-22-1-N</t>
  </si>
  <si>
    <t>EUS-25-0-N</t>
  </si>
  <si>
    <t>EUS-25-1-N</t>
  </si>
  <si>
    <t>HCCD-0-195-M-C</t>
  </si>
  <si>
    <t>HCCD-0-235-L-C</t>
  </si>
  <si>
    <t>HCCD-1-235-L-C</t>
  </si>
  <si>
    <t>IN12-194232302</t>
  </si>
  <si>
    <t>IN12-195232302</t>
  </si>
  <si>
    <t>IN12-224232302</t>
  </si>
  <si>
    <t>IN12-225232302</t>
  </si>
  <si>
    <t>IN12-254232302</t>
  </si>
  <si>
    <t>IN12-255232302</t>
  </si>
  <si>
    <t>LCNBF13-10024230</t>
  </si>
  <si>
    <t>LOCK-D-26-235-C-N</t>
  </si>
  <si>
    <t>LOCK-F-26-235-C-N</t>
  </si>
  <si>
    <t>LOCK-G-26-235-C-N</t>
  </si>
  <si>
    <t>MBD-AM-BB-2</t>
  </si>
  <si>
    <t>MBD-AS-BB-2</t>
  </si>
  <si>
    <t>MBD-BM-BA-2</t>
  </si>
  <si>
    <t>MBD-BM-BB-2</t>
  </si>
  <si>
    <t>MBD-BS-BB-2</t>
  </si>
  <si>
    <t>MBD-CM-BA-2</t>
  </si>
  <si>
    <t>MBD-CM-BB-2</t>
  </si>
  <si>
    <t>MBD-CS-BB-2</t>
  </si>
  <si>
    <t>MBD-DM-BA-2</t>
  </si>
  <si>
    <t>MBD-DM-BB-2</t>
  </si>
  <si>
    <t>MBD-DS-BB-2</t>
  </si>
  <si>
    <t>MBD-EM-BA-2</t>
  </si>
  <si>
    <t>MBD-EM-BB-2</t>
  </si>
  <si>
    <t>MBD-FM-BA-2</t>
  </si>
  <si>
    <t>MBD-FM-BB-2</t>
  </si>
  <si>
    <t>MDHL00001</t>
  </si>
  <si>
    <t>MK-I-1-195</t>
  </si>
  <si>
    <t>MK-I-2-235</t>
  </si>
  <si>
    <t>MK-O-1-195</t>
  </si>
  <si>
    <t>MK-O-1-235</t>
  </si>
  <si>
    <t>MK-O-2-195</t>
  </si>
  <si>
    <t>MK-O-4-195</t>
  </si>
  <si>
    <t>MK-T-1-195</t>
  </si>
  <si>
    <t>MK-T-1-235</t>
  </si>
  <si>
    <t>MK-T-2-195</t>
  </si>
  <si>
    <t>MK-T-2-235</t>
  </si>
  <si>
    <t>MK-T-4-235</t>
  </si>
  <si>
    <t>MK-IT-1-235</t>
  </si>
  <si>
    <t>MK-IT-2-235</t>
  </si>
  <si>
    <t>MTN-BM-63/45-A</t>
  </si>
  <si>
    <t>MTN-BM-89/45-A</t>
  </si>
  <si>
    <t>MTN-BM-89/45-A-J</t>
  </si>
  <si>
    <t>NBF03-11023180</t>
  </si>
  <si>
    <t>NBF03-11023230</t>
  </si>
  <si>
    <t>NBF13-11023230</t>
  </si>
  <si>
    <t>NBF63-11023230</t>
  </si>
  <si>
    <t>NGF03-11018160</t>
  </si>
  <si>
    <t>NGF03-11023230</t>
  </si>
  <si>
    <t>NGF13-11023230</t>
  </si>
  <si>
    <t>NGF33-11023230</t>
  </si>
  <si>
    <t>NHBF55-11023230</t>
  </si>
  <si>
    <t>NPFS02-11523230</t>
  </si>
  <si>
    <t>NPFS02-12523230</t>
  </si>
  <si>
    <t>NRPFS02-01023230</t>
  </si>
  <si>
    <t>NRPFS02-01523230</t>
  </si>
  <si>
    <t>NRPFS02-02023230</t>
  </si>
  <si>
    <t>NRPFS02-02423230</t>
  </si>
  <si>
    <t>NRPFS02-03023230</t>
  </si>
  <si>
    <t>NRPFS04-01523230</t>
  </si>
  <si>
    <t>NRPFS04-02023230</t>
  </si>
  <si>
    <t>NRPFS04-02423230</t>
  </si>
  <si>
    <t>NST01-222-22.100</t>
  </si>
  <si>
    <t>NST01-222-22.120</t>
  </si>
  <si>
    <t>NST01-222-22.140</t>
  </si>
  <si>
    <t>NST01-222-22.150</t>
  </si>
  <si>
    <t>NST01-224-22.100</t>
  </si>
  <si>
    <t>NST01-224-22.120</t>
  </si>
  <si>
    <t>NST01-224-22.140</t>
  </si>
  <si>
    <t>NST01-224-22.150</t>
  </si>
  <si>
    <t>NT-E-30/23-P</t>
  </si>
  <si>
    <t>PFS01-03623230</t>
  </si>
  <si>
    <t>RSEB-H4-15</t>
  </si>
  <si>
    <t>RSEB-H4-20</t>
  </si>
  <si>
    <t>RSEB-H4-25</t>
  </si>
  <si>
    <t>RSEB-H4-30</t>
  </si>
  <si>
    <t>SRB-T-12/15/18-20</t>
  </si>
  <si>
    <t>SRB-T-15/18/21-20</t>
  </si>
  <si>
    <t>SRB-T-9/12/15-20</t>
  </si>
  <si>
    <t>STA00003</t>
  </si>
  <si>
    <t>NST03-004-10.080</t>
  </si>
  <si>
    <t>NST03-004-10.100</t>
  </si>
  <si>
    <t>NST03-114-08.100</t>
  </si>
  <si>
    <t>NST03-114-10.100</t>
  </si>
  <si>
    <t>NST03-001-10.080</t>
  </si>
  <si>
    <t>NST03-001-10.100</t>
  </si>
  <si>
    <t>MBLS-7-NL-S</t>
  </si>
  <si>
    <t>CF230-B</t>
  </si>
  <si>
    <t>CF230-C</t>
  </si>
  <si>
    <t>Product Name</t>
  </si>
  <si>
    <t>BIOPSY FORCEPS</t>
  </si>
  <si>
    <t>POLYPECTOMY SNARE</t>
  </si>
  <si>
    <t>CLEANING BRUSH</t>
  </si>
  <si>
    <t>BITE BLOCK</t>
  </si>
  <si>
    <t>INJECTION NEEDLE</t>
  </si>
  <si>
    <t>COLD SNARE</t>
  </si>
  <si>
    <t>SPHINCTEROTOME</t>
  </si>
  <si>
    <t>HEMO-CLIPS</t>
  </si>
  <si>
    <t>PLASTIC STENT</t>
  </si>
  <si>
    <t>DILATION BALLOON</t>
  </si>
  <si>
    <t>EXTRACTION BALLOON</t>
  </si>
  <si>
    <t>GUIDE WIRE</t>
  </si>
  <si>
    <t>ESD KNIFE</t>
  </si>
  <si>
    <t>FOREIGN BODY FORCEPS</t>
  </si>
  <si>
    <t>CHANNEL VALVE</t>
  </si>
  <si>
    <t>NET RETRIEVAL DEVICE</t>
  </si>
  <si>
    <t>POLYP TRAP</t>
  </si>
  <si>
    <t>EUS NEEDLE</t>
  </si>
  <si>
    <t>EXTRACTION BASKET</t>
  </si>
  <si>
    <t>DISPOSABLE BIOPSY FORCEPS</t>
  </si>
  <si>
    <t>HOT BIOPSY FORCEPS</t>
  </si>
  <si>
    <t>DEFECT CLOSURE</t>
  </si>
  <si>
    <t>INFLATION DEVICE</t>
  </si>
  <si>
    <t>DISPOSABLE EXTRACTION BASKET</t>
  </si>
  <si>
    <t>DISPOSABLE HEMOSTATIC CLOSURE CLIP DEVICE</t>
  </si>
  <si>
    <t>STAR CLIP</t>
  </si>
  <si>
    <t>ELASTIC TRACTION DEVICE</t>
  </si>
  <si>
    <t>BILIARY DRAINAGE CATHETER</t>
  </si>
  <si>
    <t>EYEMAX</t>
  </si>
  <si>
    <t>ESOPHAGEAL STENT</t>
  </si>
  <si>
    <t>SELF-EXPANDABLE NITINOL STENT WITH INTRODUCER</t>
  </si>
  <si>
    <t>IN-SIGHT MULTI-BAND LIGATOR(INSET GOLDENPOWER LR44G )</t>
  </si>
  <si>
    <t>Ref #</t>
  </si>
  <si>
    <t>CB18-T5050/23-B</t>
  </si>
  <si>
    <t>PFS02-01023230</t>
  </si>
  <si>
    <t>PFS01-11523230</t>
  </si>
  <si>
    <t>PFS02-01523230</t>
  </si>
  <si>
    <t>PFS02-02423230</t>
  </si>
  <si>
    <t>PFS01-12423230</t>
  </si>
  <si>
    <t>PFS02-03023230</t>
  </si>
  <si>
    <t>PFS02-02023230</t>
  </si>
  <si>
    <t>BS-W-100</t>
  </si>
  <si>
    <t>212-21</t>
  </si>
  <si>
    <t>AC01-102.A</t>
  </si>
  <si>
    <t>AC01-109.M</t>
  </si>
  <si>
    <t>AC03-101.O</t>
  </si>
  <si>
    <t>AC03-101.P</t>
  </si>
  <si>
    <t>BBP-50-M</t>
  </si>
  <si>
    <t>BBP-50-S</t>
  </si>
  <si>
    <t>BBPA10001</t>
  </si>
  <si>
    <t>BDC-6/55-7/24-A</t>
  </si>
  <si>
    <t>BDC-6/80-7/18-A</t>
  </si>
  <si>
    <t>BDC-6/80-7/24-A</t>
  </si>
  <si>
    <t>BDC-8/30-7/10</t>
  </si>
  <si>
    <t>BDC-8/30-7/24-A</t>
  </si>
  <si>
    <t>BDC-8/55-7/24-A</t>
  </si>
  <si>
    <t>BDC-8/80-7/24-A</t>
  </si>
  <si>
    <t>BDC-10/30-7/10</t>
  </si>
  <si>
    <t>BDC-10/30-7/10-A</t>
  </si>
  <si>
    <t>BDC-10/30-7/18-A</t>
  </si>
  <si>
    <t>BDC-10/55-7/10-A</t>
  </si>
  <si>
    <t>BDC-10/55-7/18-A</t>
  </si>
  <si>
    <t>BDC-10/55-7/24-A</t>
  </si>
  <si>
    <t>BDC-10/80-7/10-A</t>
  </si>
  <si>
    <t>BDC-10/80-7/18-A</t>
  </si>
  <si>
    <t>BDC-10/80-7/24-A</t>
  </si>
  <si>
    <t>BDC-12/30-7/10</t>
  </si>
  <si>
    <t>BDC-12/30-7/10-A</t>
  </si>
  <si>
    <t>BDC-12/30-7/18-A</t>
  </si>
  <si>
    <t>BDC-12/30-7/24-A</t>
  </si>
  <si>
    <t>BDC-12/55-7/10-A</t>
  </si>
  <si>
    <t>BDC-12/55-7/18-A</t>
  </si>
  <si>
    <t>BDC-12/55-7/24-A</t>
  </si>
  <si>
    <t>BDC-12/80-7/10-A</t>
  </si>
  <si>
    <t>BDC-12/80-7/18-A</t>
  </si>
  <si>
    <t>BDC-12/80-7/24-A</t>
  </si>
  <si>
    <t>BDC-14/30-7/10</t>
  </si>
  <si>
    <t>BDC-14/55-7/24-A</t>
  </si>
  <si>
    <t>BDC-15/55-7/10-A</t>
  </si>
  <si>
    <t>BDC-15/55-7/18-A</t>
  </si>
  <si>
    <t>BDC-15/55-7/24-A</t>
  </si>
  <si>
    <t>BDC-15/80-7/10-A</t>
  </si>
  <si>
    <t>BDC-15/80-7/18-A</t>
  </si>
  <si>
    <t>BDC-15/80-7/24-A</t>
  </si>
  <si>
    <t>BDC-16/30-7/10</t>
  </si>
  <si>
    <t>BDC-16/55-7/24-A</t>
  </si>
  <si>
    <t>BDC-16/80-7/24-A</t>
  </si>
  <si>
    <t>BDC-18/30-7/10</t>
  </si>
  <si>
    <t>BDC-18/55-7/10-A</t>
  </si>
  <si>
    <t>BDC-18/55-7/18-A</t>
  </si>
  <si>
    <t>BDC-18/55-7/24-A</t>
  </si>
  <si>
    <t>BDC-18/80-7/10-A</t>
  </si>
  <si>
    <t>BDC-18/80-7/18-A</t>
  </si>
  <si>
    <t>BDC-18/80-7/24-A</t>
  </si>
  <si>
    <t>BDC-20/55-7/10-A</t>
  </si>
  <si>
    <t>BDC-20/55-7/24-A</t>
  </si>
  <si>
    <t>BDC-20/80-7/10-A</t>
  </si>
  <si>
    <t>BDC-20/80-7/18-A</t>
  </si>
  <si>
    <t>BDC-20/80-7/24-A</t>
  </si>
  <si>
    <t>BDC-25/80-7/10</t>
  </si>
  <si>
    <t>BDC-25/80-7/10-A</t>
  </si>
  <si>
    <t>BDC-25/80-7/18-A</t>
  </si>
  <si>
    <t>BDC-25/80-7/24-A</t>
  </si>
  <si>
    <t>BDC-26/80-7/10-A</t>
  </si>
  <si>
    <t>BDC-26/80-7/24-A</t>
  </si>
  <si>
    <t>BDC-30/80-7/10</t>
  </si>
  <si>
    <t>BDC-30/80-7/10-A</t>
  </si>
  <si>
    <t>BDC-30/80-7/24-A</t>
  </si>
  <si>
    <t>BDC-34/80-7/10</t>
  </si>
  <si>
    <t>BDC-34/80-7/10-A</t>
  </si>
  <si>
    <t>BDC-35/80-7/10-A</t>
  </si>
  <si>
    <t>BF10001</t>
  </si>
  <si>
    <t>BF16001</t>
  </si>
  <si>
    <t>BPDI-0700/17</t>
  </si>
  <si>
    <t>BPDI-0712/22</t>
  </si>
  <si>
    <t>BPDI-0720/22</t>
  </si>
  <si>
    <t>BPDI-0740/22</t>
  </si>
  <si>
    <t>BPDI-0812/22</t>
  </si>
  <si>
    <t>BPDI-0820/22</t>
  </si>
  <si>
    <t>BPDI-0835/22</t>
  </si>
  <si>
    <t>BPDI-0840/22</t>
  </si>
  <si>
    <t>BPDI-1012/22</t>
  </si>
  <si>
    <t>BPDI-1020/22</t>
  </si>
  <si>
    <t>BPDI-1040/22</t>
  </si>
  <si>
    <t>BPDI-1112/22</t>
  </si>
  <si>
    <t>BPDI-1120/22</t>
  </si>
  <si>
    <t>BPDS-13442-0805</t>
  </si>
  <si>
    <t>BPDS-13442-0805/22</t>
  </si>
  <si>
    <t>BPDS-13442-0806</t>
  </si>
  <si>
    <t>BPDS-13442-0806/22</t>
  </si>
  <si>
    <t>BPDS-13442-0807</t>
  </si>
  <si>
    <t>BPDS-13442-0807/22</t>
  </si>
  <si>
    <t>BPDS-13442-0808</t>
  </si>
  <si>
    <t>BPDS-13442-0808/22</t>
  </si>
  <si>
    <t>BPDS-13442-0809</t>
  </si>
  <si>
    <t>BPDS-13442-0809/22</t>
  </si>
  <si>
    <t>BPDS-13442-0810</t>
  </si>
  <si>
    <t>BPDS-13442-0810/22</t>
  </si>
  <si>
    <t>BPDS-13442-0811</t>
  </si>
  <si>
    <t>BPDS-13442-0811/22</t>
  </si>
  <si>
    <t>BPDS-13442-0812</t>
  </si>
  <si>
    <t>BPDS-13442-0812/22</t>
  </si>
  <si>
    <t>BPDS-13442-0813</t>
  </si>
  <si>
    <t>BPDS-13442-0813/22</t>
  </si>
  <si>
    <t>BPDS-13442-0814</t>
  </si>
  <si>
    <t>BPDS-13442-0814/22</t>
  </si>
  <si>
    <t>BPDS-13442-0815</t>
  </si>
  <si>
    <t>BPDS-13442-0815/22</t>
  </si>
  <si>
    <t>BPDS-13442-1005</t>
  </si>
  <si>
    <t>BPDS-13442-1005/22</t>
  </si>
  <si>
    <t>BPDS-13442-1006</t>
  </si>
  <si>
    <t>BPDS-13442-1006/22</t>
  </si>
  <si>
    <t>BPDS-13442-1007</t>
  </si>
  <si>
    <t>BPDS-13442-1007/22</t>
  </si>
  <si>
    <t>BPDS-13442-1008</t>
  </si>
  <si>
    <t>BPDS-13442-1008/22</t>
  </si>
  <si>
    <t>BPDS-13442-1009</t>
  </si>
  <si>
    <t>BPDS-13442-1009/22</t>
  </si>
  <si>
    <t>BPDS-13442-1010</t>
  </si>
  <si>
    <t>BPDS-13442-1010/22</t>
  </si>
  <si>
    <t>BPDS-13442-1011</t>
  </si>
  <si>
    <t>BPDS-13442-1011/22</t>
  </si>
  <si>
    <t>BPDS-13442-1012</t>
  </si>
  <si>
    <t>BPDS-13442-1012/22</t>
  </si>
  <si>
    <t>BPDS-13442-1013</t>
  </si>
  <si>
    <t>BPDS-13442-1013/22</t>
  </si>
  <si>
    <t>BPDS-13442-1014</t>
  </si>
  <si>
    <t>BPDS-13442-1014/22</t>
  </si>
  <si>
    <t>BPDS-13442-1015</t>
  </si>
  <si>
    <t>BPDS-13442-1015/22</t>
  </si>
  <si>
    <t>BPDS-31003-1005</t>
  </si>
  <si>
    <t>BPDS-31114-0705</t>
  </si>
  <si>
    <t>BPDS-31114-0706</t>
  </si>
  <si>
    <t>BPDS-31114-0706/22</t>
  </si>
  <si>
    <t>BPDS-31114-0707</t>
  </si>
  <si>
    <t>BPDS-31114-0708</t>
  </si>
  <si>
    <t>BPDS-31114-0708/22</t>
  </si>
  <si>
    <t>BPDS-31114-0709</t>
  </si>
  <si>
    <t>BPDS-31114-0709/22</t>
  </si>
  <si>
    <t>BPDS-31114-0710</t>
  </si>
  <si>
    <t>BPDS-31114-0711</t>
  </si>
  <si>
    <t>BPDS-31114-0711/22</t>
  </si>
  <si>
    <t>BPDS-31114-0712</t>
  </si>
  <si>
    <t>BPDS-31114-0713</t>
  </si>
  <si>
    <t>BPDS-31114-0713/22</t>
  </si>
  <si>
    <t>BPDS-31114-0714</t>
  </si>
  <si>
    <t>BPDS-31114-0714/22</t>
  </si>
  <si>
    <t>BPDS-31114-0715</t>
  </si>
  <si>
    <t>BPDS-31114-0805</t>
  </si>
  <si>
    <t>BPDS-31114-0805/22</t>
  </si>
  <si>
    <t>BPDS-31114-0806</t>
  </si>
  <si>
    <t>BPDS-31114-0806/22</t>
  </si>
  <si>
    <t>BPDS-31114-0807</t>
  </si>
  <si>
    <t>BPDS-31114-0808</t>
  </si>
  <si>
    <t>BPDS-31114-0808/22</t>
  </si>
  <si>
    <t>BPDS-31114-0809</t>
  </si>
  <si>
    <t>BPDS-31114-0809/22</t>
  </si>
  <si>
    <t>BPDS-31114-0810</t>
  </si>
  <si>
    <t>BPDS-31114-0811</t>
  </si>
  <si>
    <t>BPDS-31114-0811/22</t>
  </si>
  <si>
    <t>BPDS-31114-0812</t>
  </si>
  <si>
    <t>BPDS-31114-0813</t>
  </si>
  <si>
    <t>BPDS-31114-0813/22</t>
  </si>
  <si>
    <t>BPDS-31114-0814</t>
  </si>
  <si>
    <t>BPDS-31114-0814/22</t>
  </si>
  <si>
    <t>BPDS-31114-0815</t>
  </si>
  <si>
    <t>BPDS-31114-1005</t>
  </si>
  <si>
    <t>BPDS-31114-1005/22</t>
  </si>
  <si>
    <t>BPDS-31114-1006</t>
  </si>
  <si>
    <t>BPDS-31114-1006/22</t>
  </si>
  <si>
    <t>BPDS-31114-1007</t>
  </si>
  <si>
    <t>BPDS-31114-1008</t>
  </si>
  <si>
    <t>BPDS-31114-1008/22</t>
  </si>
  <si>
    <t>BPDS-31114-1009</t>
  </si>
  <si>
    <t>BPDS-31114-1009/22</t>
  </si>
  <si>
    <t>BPDS-31114-1010</t>
  </si>
  <si>
    <t>BPDS-31114-1011</t>
  </si>
  <si>
    <t>BPDS-31114-1011/22</t>
  </si>
  <si>
    <t>BPDS-31114-1012</t>
  </si>
  <si>
    <t>BPDS-31114-1013</t>
  </si>
  <si>
    <t>BPDS-31114-1013/22</t>
  </si>
  <si>
    <t>BPDS-31114-1014</t>
  </si>
  <si>
    <t>BPDS-31114-1014/22</t>
  </si>
  <si>
    <t>BPDS-31114-1015</t>
  </si>
  <si>
    <t>BPDS-31114-1105</t>
  </si>
  <si>
    <t>BPDS-31114-1105/22</t>
  </si>
  <si>
    <t>BPDS-31114-1106</t>
  </si>
  <si>
    <t>BPDS-31114-1106/22</t>
  </si>
  <si>
    <t>BPDS-31114-1107</t>
  </si>
  <si>
    <t>BPDS-31114-1107/22</t>
  </si>
  <si>
    <t>BPDS-31114-1108</t>
  </si>
  <si>
    <t>BPDS-31114-1108/22</t>
  </si>
  <si>
    <t>BPDS-31114-1109</t>
  </si>
  <si>
    <t>BPDS-31114-1109/22</t>
  </si>
  <si>
    <t>BPDS-31114-1110</t>
  </si>
  <si>
    <t>BPDS-31114-1110/22</t>
  </si>
  <si>
    <t>BPDS-31114-1111</t>
  </si>
  <si>
    <t>BPDS-31114-1111/22</t>
  </si>
  <si>
    <t>BPDS-31114-1112</t>
  </si>
  <si>
    <t>BPDS-31114-1112/22</t>
  </si>
  <si>
    <t>BPDS-31114-1113</t>
  </si>
  <si>
    <t>BPDS-31114-1113/22</t>
  </si>
  <si>
    <t>BPDS-31114-1114</t>
  </si>
  <si>
    <t>BPDS-31114-1114/22</t>
  </si>
  <si>
    <t>BPDS-31114-1115</t>
  </si>
  <si>
    <t>BPDS-31114-1115/22</t>
  </si>
  <si>
    <t>BPDS-31196-0705</t>
  </si>
  <si>
    <t>BPDS-31196-0705/22</t>
  </si>
  <si>
    <t>BPDS-31196-0706</t>
  </si>
  <si>
    <t>BPDS-31196-0706/22</t>
  </si>
  <si>
    <t>BPDS-31196-0707</t>
  </si>
  <si>
    <t>BPDS-31196-0707/22</t>
  </si>
  <si>
    <t>BPDS-31196-0708</t>
  </si>
  <si>
    <t>BPDS-31196-0708/22</t>
  </si>
  <si>
    <t>BPDS-31196-0709</t>
  </si>
  <si>
    <t>BPDS-31196-0709/22</t>
  </si>
  <si>
    <t>BPDS-31196-0710</t>
  </si>
  <si>
    <t>BPDS-31196-0710/22</t>
  </si>
  <si>
    <t>BPDS-31196-0711</t>
  </si>
  <si>
    <t>BPDS-31196-0711/22</t>
  </si>
  <si>
    <t>BPDS-31196-0712</t>
  </si>
  <si>
    <t>BPDS-31196-0712/22</t>
  </si>
  <si>
    <t>BPDS-31196-0713</t>
  </si>
  <si>
    <t>BPDS-31196-0713/22</t>
  </si>
  <si>
    <t>BPDS-31196-0714</t>
  </si>
  <si>
    <t>BPDS-31196-0714/22</t>
  </si>
  <si>
    <t>BPDS-31196-0715</t>
  </si>
  <si>
    <t>BPDS-31196-0715/22</t>
  </si>
  <si>
    <t>BPDS-31196-0805</t>
  </si>
  <si>
    <t>BPDS-31196-0805/22</t>
  </si>
  <si>
    <t>BPDS-31196-0806</t>
  </si>
  <si>
    <t>BPDS-31196-0806/22</t>
  </si>
  <si>
    <t>BPDS-31196-0807</t>
  </si>
  <si>
    <t>BPDS-31196-0807/22</t>
  </si>
  <si>
    <t>BPDS-31196-0808</t>
  </si>
  <si>
    <t>BPDS-31196-0808/22</t>
  </si>
  <si>
    <t>BPDS-31196-0809</t>
  </si>
  <si>
    <t>BPDS-31196-0809/22</t>
  </si>
  <si>
    <t>BPDS-31196-0810</t>
  </si>
  <si>
    <t>BPDS-31196-0810/22</t>
  </si>
  <si>
    <t>BPDS-31196-0811</t>
  </si>
  <si>
    <t>BPDS-31196-0811/22</t>
  </si>
  <si>
    <t>BPDS-31196-0812</t>
  </si>
  <si>
    <t>BPDS-31196-0812/22</t>
  </si>
  <si>
    <t>BPDS-31196-0813</t>
  </si>
  <si>
    <t>BPDS-31196-0813/22</t>
  </si>
  <si>
    <t>BPDS-31196-0814</t>
  </si>
  <si>
    <t>BPDS-31196-0814/22</t>
  </si>
  <si>
    <t>BPDS-31196-0815</t>
  </si>
  <si>
    <t>BPDS-31196-0815/22</t>
  </si>
  <si>
    <t>BPDS-31196-1005</t>
  </si>
  <si>
    <t>BPDS-31196-1005/22</t>
  </si>
  <si>
    <t>BPDS-31196-1006</t>
  </si>
  <si>
    <t>BPDS-31196-1006/22</t>
  </si>
  <si>
    <t>BPDS-31196-1007</t>
  </si>
  <si>
    <t>BPDS-31196-1007/22</t>
  </si>
  <si>
    <t>BPDS-31196-1008</t>
  </si>
  <si>
    <t>BPDS-31196-1008/22</t>
  </si>
  <si>
    <t>BPDS-31196-1009</t>
  </si>
  <si>
    <t>BPDS-31196-1009/22</t>
  </si>
  <si>
    <t>BPDS-31196-1010</t>
  </si>
  <si>
    <t>BPDS-31196-1010/22</t>
  </si>
  <si>
    <t>BPDS-31196-1011</t>
  </si>
  <si>
    <t>BPDS-31196-1011/22</t>
  </si>
  <si>
    <t>BPDS-31196-1012</t>
  </si>
  <si>
    <t>BPDS-31196-1013</t>
  </si>
  <si>
    <t>BPDS-31196-1013/22</t>
  </si>
  <si>
    <t>BPDS-31196-1014</t>
  </si>
  <si>
    <t>BPDS-31196-1014/22</t>
  </si>
  <si>
    <t>BPDS-31196-1015</t>
  </si>
  <si>
    <t>BPDS-31196-1015/22</t>
  </si>
  <si>
    <t>BPDS-31196-1105</t>
  </si>
  <si>
    <t>BPDS-31196-1105/22</t>
  </si>
  <si>
    <t>BPDS-31196-1106</t>
  </si>
  <si>
    <t>BPDS-31196-1106/22</t>
  </si>
  <si>
    <t>BPDS-31196-1107</t>
  </si>
  <si>
    <t>BPDS-31196-1107/22</t>
  </si>
  <si>
    <t>BPDS-31196-1108</t>
  </si>
  <si>
    <t>BPDS-31196-1108/22</t>
  </si>
  <si>
    <t>BPDS-31196-1109</t>
  </si>
  <si>
    <t>BPDS-31196-1109/22</t>
  </si>
  <si>
    <t>BPDS-31196-1110</t>
  </si>
  <si>
    <t>BPDS-31196-1110/22</t>
  </si>
  <si>
    <t>BPDS-31196-1111</t>
  </si>
  <si>
    <t>BPDS-31196-1111/22</t>
  </si>
  <si>
    <t>BPDS-31196-1112</t>
  </si>
  <si>
    <t>BPDS-31196-1112/22</t>
  </si>
  <si>
    <t>BPDS-31196-1113</t>
  </si>
  <si>
    <t>BPDS-31196-1113/22</t>
  </si>
  <si>
    <t>BPDS-31196-1114</t>
  </si>
  <si>
    <t>BPDS-31196-1114/22</t>
  </si>
  <si>
    <t>BPDS-31196-1115</t>
  </si>
  <si>
    <t>BPDS-31916-0705</t>
  </si>
  <si>
    <t>BPDS-31916-0705/22</t>
  </si>
  <si>
    <t>BPDS-31916-0706</t>
  </si>
  <si>
    <t>BPDS-31916-0706/22</t>
  </si>
  <si>
    <t>BPDS-31916-0707</t>
  </si>
  <si>
    <t>BPDS-31916-0707/22</t>
  </si>
  <si>
    <t>BPDS-31916-0708</t>
  </si>
  <si>
    <t>BPDS-31916-0708/22</t>
  </si>
  <si>
    <t>BPDS-31916-0709</t>
  </si>
  <si>
    <t>BPDS-31916-0709/22</t>
  </si>
  <si>
    <t>BPDS-31916-0710</t>
  </si>
  <si>
    <t>BPDS-31916-0710/22</t>
  </si>
  <si>
    <t>BPDS-31916-0711</t>
  </si>
  <si>
    <t>BPDS-31916-0711/22</t>
  </si>
  <si>
    <t>BPDS-31916-0712</t>
  </si>
  <si>
    <t>BPDS-31916-0712/22</t>
  </si>
  <si>
    <t>BPDS-31916-0713</t>
  </si>
  <si>
    <t>BPDS-31916-0713/22</t>
  </si>
  <si>
    <t>BPDS-31916-0714</t>
  </si>
  <si>
    <t>BPDS-31916-0714/22</t>
  </si>
  <si>
    <t>BPDS-31916-0715</t>
  </si>
  <si>
    <t>BPDS-31916-0715/22</t>
  </si>
  <si>
    <t>BPDS-31993-0704</t>
  </si>
  <si>
    <t>BPDS-31993-0705</t>
  </si>
  <si>
    <t>BPDS-31993-0705/22</t>
  </si>
  <si>
    <t>BPDS-31993-0707</t>
  </si>
  <si>
    <t>BPDS-31993-0709/22</t>
  </si>
  <si>
    <t>BPDS-31993-0710</t>
  </si>
  <si>
    <t>BPDS-31993-0715</t>
  </si>
  <si>
    <t>BPDS-31993-0803/22</t>
  </si>
  <si>
    <t>BPDS-31993-0805</t>
  </si>
  <si>
    <t>BPDS-31993-0805/22</t>
  </si>
  <si>
    <t>BPDS-31993-0807</t>
  </si>
  <si>
    <t>BPDS-31993-0809/22</t>
  </si>
  <si>
    <t>BPDS-31993-0810</t>
  </si>
  <si>
    <t>BPDS-31993-0812</t>
  </si>
  <si>
    <t>BPDS-31993-0812/22</t>
  </si>
  <si>
    <t>BPDS-31993-1003/22</t>
  </si>
  <si>
    <t>BPDS-31993-1005</t>
  </si>
  <si>
    <t>BPDS-31993-1005/22</t>
  </si>
  <si>
    <t>BPDS-31993-1006/22</t>
  </si>
  <si>
    <t>BPDS-31993-1007</t>
  </si>
  <si>
    <t>BPDS-31993-1009</t>
  </si>
  <si>
    <t>BPDS-31993-1010</t>
  </si>
  <si>
    <t>BPDS-31993-1011</t>
  </si>
  <si>
    <t>BPDS-31993-1011/22</t>
  </si>
  <si>
    <t>BPDS-31993-1012</t>
  </si>
  <si>
    <t>BPDS-31993-1012/22</t>
  </si>
  <si>
    <t>BPDS-31993-1015</t>
  </si>
  <si>
    <t>BPDS-31993-1015/22</t>
  </si>
  <si>
    <t>BPDS-32114-0705</t>
  </si>
  <si>
    <t>BPDS-32114-0705/22</t>
  </si>
  <si>
    <t>BPDS-32114-0706</t>
  </si>
  <si>
    <t>BPDS-32114-0707</t>
  </si>
  <si>
    <t>BPDS-32114-0708</t>
  </si>
  <si>
    <t>BPDS-32114-0708/22</t>
  </si>
  <si>
    <t>BPDS-32114-0709</t>
  </si>
  <si>
    <t>BPDS-32114-0709/22</t>
  </si>
  <si>
    <t>BPDS-32114-0710</t>
  </si>
  <si>
    <t>BPDS-32114-0712</t>
  </si>
  <si>
    <t>BPDS-32114-0713</t>
  </si>
  <si>
    <t>BPDS-32114-0715</t>
  </si>
  <si>
    <t>BPDS-32114-0715/22</t>
  </si>
  <si>
    <t>BPDS-32114-0805</t>
  </si>
  <si>
    <t>BPDS-32114-0805/22</t>
  </si>
  <si>
    <t>BPDS-32114-0806</t>
  </si>
  <si>
    <t>BPDS-32114-0807</t>
  </si>
  <si>
    <t>BPDS-32114-0808</t>
  </si>
  <si>
    <t>BPDS-32114-0808/22</t>
  </si>
  <si>
    <t>BPDS-32114-0809</t>
  </si>
  <si>
    <t>BPDS-32114-0809/22</t>
  </si>
  <si>
    <t>BPDS-32114-0810</t>
  </si>
  <si>
    <t>BPDS-32114-0811/22</t>
  </si>
  <si>
    <t>BPDS-32114-0812</t>
  </si>
  <si>
    <t>BPDS-32114-0814/22</t>
  </si>
  <si>
    <t>BPDS-32114-0815</t>
  </si>
  <si>
    <t>BPDS-32114-0815/22</t>
  </si>
  <si>
    <t>BPDS-32114-1005</t>
  </si>
  <si>
    <t>BPDS-32114-1005/22</t>
  </si>
  <si>
    <t>BPDS-32114-1006</t>
  </si>
  <si>
    <t>BPDS-32114-1007</t>
  </si>
  <si>
    <t>BPDS-32114-1008</t>
  </si>
  <si>
    <t>BPDS-32114-1008/22</t>
  </si>
  <si>
    <t>BPDS-32114-1009</t>
  </si>
  <si>
    <t>BPDS-32114-1009/22</t>
  </si>
  <si>
    <t>BPDS-32114-1010</t>
  </si>
  <si>
    <t>BPDS-32114-1011</t>
  </si>
  <si>
    <t>BPDS-32114-1012</t>
  </si>
  <si>
    <t>BPDS-32114-1012/22</t>
  </si>
  <si>
    <t>BPDS-32114-1013</t>
  </si>
  <si>
    <t>BPDS-32114-1013/22</t>
  </si>
  <si>
    <t>BPDS-32114-1015</t>
  </si>
  <si>
    <t>BPDS-32114-1015/22</t>
  </si>
  <si>
    <t>BPDS-32114-1105</t>
  </si>
  <si>
    <t>BPDS-32114-1106</t>
  </si>
  <si>
    <t>BPDS-32114-1107</t>
  </si>
  <si>
    <t>BPDS-32114-1108</t>
  </si>
  <si>
    <t>BPDS-32114-1109</t>
  </si>
  <si>
    <t>BPDS-32114-1110</t>
  </si>
  <si>
    <t>BPDS-32114-1112</t>
  </si>
  <si>
    <t>BPDS-32114-1115</t>
  </si>
  <si>
    <t>BPDS-33114-0705</t>
  </si>
  <si>
    <t>BPDS-33114-0706</t>
  </si>
  <si>
    <t>BPDS-33114-0707</t>
  </si>
  <si>
    <t>BPDS-33114-0708</t>
  </si>
  <si>
    <t>BPDS-33114-0708/22</t>
  </si>
  <si>
    <t>BPDS-33114-0709</t>
  </si>
  <si>
    <t>BPDS-33114-0709/22</t>
  </si>
  <si>
    <t>BPDS-33114-0710</t>
  </si>
  <si>
    <t>BPDS-33114-0711</t>
  </si>
  <si>
    <t>BPDS-33114-0711/22</t>
  </si>
  <si>
    <t>BPDS-33114-0712</t>
  </si>
  <si>
    <t>BPDS-33114-0712/22</t>
  </si>
  <si>
    <t>BPDS-33114-0713</t>
  </si>
  <si>
    <t>BPDS-33114-0713/22</t>
  </si>
  <si>
    <t>BPDS-33114-0714</t>
  </si>
  <si>
    <t>BPDS-33114-0714/22</t>
  </si>
  <si>
    <t>BPDS-33114-0715</t>
  </si>
  <si>
    <t>BPDS-33114-0715/22</t>
  </si>
  <si>
    <t>BPDS-33114-0805</t>
  </si>
  <si>
    <t>BPDS-33114-0805/22</t>
  </si>
  <si>
    <t>BPDS-33114-0806</t>
  </si>
  <si>
    <t>BPDS-33114-0806/22</t>
  </si>
  <si>
    <t>BPDS-33114-0807</t>
  </si>
  <si>
    <t>BPDS-33114-0808</t>
  </si>
  <si>
    <t>BPDS-33114-0808/22</t>
  </si>
  <si>
    <t>BPDS-33114-0809</t>
  </si>
  <si>
    <t>BPDS-33114-0809/22</t>
  </si>
  <si>
    <t>BPDS-33114-0810</t>
  </si>
  <si>
    <t>BPDS-33114-0811</t>
  </si>
  <si>
    <t>BPDS-33114-0811/22</t>
  </si>
  <si>
    <t>BPDS-33114-0812</t>
  </si>
  <si>
    <t>BPDS-33114-0812/22</t>
  </si>
  <si>
    <t>BPDS-33114-0813</t>
  </si>
  <si>
    <t>BPDS-33114-0813/22</t>
  </si>
  <si>
    <t>BPDS-33114-0814</t>
  </si>
  <si>
    <t>BPDS-33114-0814/22</t>
  </si>
  <si>
    <t>BPDS-33114-0815</t>
  </si>
  <si>
    <t>BPDS-33114-0815/22</t>
  </si>
  <si>
    <t>BPDS-33114-1005</t>
  </si>
  <si>
    <t>BPDS-33114-1005/22</t>
  </si>
  <si>
    <t>BPDS-33114-1006</t>
  </si>
  <si>
    <t>BPDS-33114-1006/22</t>
  </si>
  <si>
    <t>BPDS-33114-1007</t>
  </si>
  <si>
    <t>BPDS-33114-1008</t>
  </si>
  <si>
    <t>BPDS-33114-1008/22</t>
  </si>
  <si>
    <t>BPDS-33114-1009</t>
  </si>
  <si>
    <t>BPDS-33114-1009/22</t>
  </si>
  <si>
    <t>BPDS-33114-1010</t>
  </si>
  <si>
    <t>BPDS-33114-1011</t>
  </si>
  <si>
    <t>BPDS-33114-1011/22</t>
  </si>
  <si>
    <t>BPDS-33114-1012</t>
  </si>
  <si>
    <t>BPDS-33114-1012/22</t>
  </si>
  <si>
    <t>BPDS-33114-1013</t>
  </si>
  <si>
    <t>BPDS-33114-1013/22</t>
  </si>
  <si>
    <t>BPDS-33114-1014</t>
  </si>
  <si>
    <t>BPDS-33114-1014/22</t>
  </si>
  <si>
    <t>BPDS-33114-1015</t>
  </si>
  <si>
    <t>BPDS-33114-1015/22</t>
  </si>
  <si>
    <t>BPDS-33114-1105</t>
  </si>
  <si>
    <t>BPDS-33114-1105/22</t>
  </si>
  <si>
    <t>BPDS-33114-1106</t>
  </si>
  <si>
    <t>BPDS-33114-1106/22</t>
  </si>
  <si>
    <t>BPDS-33114-1107</t>
  </si>
  <si>
    <t>BPDS-33114-1107/22</t>
  </si>
  <si>
    <t>BPDS-33114-1108</t>
  </si>
  <si>
    <t>BPDS-33114-1108/22</t>
  </si>
  <si>
    <t>BPDS-33114-1109</t>
  </si>
  <si>
    <t>BPDS-33114-1109/22</t>
  </si>
  <si>
    <t>BPDS-33114-1110</t>
  </si>
  <si>
    <t>BPDS-33114-1110/22</t>
  </si>
  <si>
    <t>BPDS-33114-1111</t>
  </si>
  <si>
    <t>BPDS-33114-1111/22</t>
  </si>
  <si>
    <t>BPDS-33114-1112</t>
  </si>
  <si>
    <t>BPDS-33114-1112/22</t>
  </si>
  <si>
    <t>BPDS-33114-1113</t>
  </si>
  <si>
    <t>BPDS-33114-1113/22</t>
  </si>
  <si>
    <t>BPDS-33114-1114</t>
  </si>
  <si>
    <t>BPDS-33114-1114/22</t>
  </si>
  <si>
    <t>BPDS-33114-1115</t>
  </si>
  <si>
    <t>BPDS-33114-1115/22</t>
  </si>
  <si>
    <t>BPDS-34114-0705</t>
  </si>
  <si>
    <t>BPDS-34114-0706</t>
  </si>
  <si>
    <t>BPDS-34114-0707</t>
  </si>
  <si>
    <t>BPDS-34114-0708</t>
  </si>
  <si>
    <t>BPDS-34114-0708/22</t>
  </si>
  <si>
    <t>BPDS-34114-0709</t>
  </si>
  <si>
    <t>BPDS-34114-0709/22</t>
  </si>
  <si>
    <t>BPDS-34114-0710</t>
  </si>
  <si>
    <t>BPDS-34114-0711</t>
  </si>
  <si>
    <t>BPDS-34114-0712</t>
  </si>
  <si>
    <t>BPDS-34114-0712/22</t>
  </si>
  <si>
    <t>BPDS-34114-0713</t>
  </si>
  <si>
    <t>BPDS-34114-0714</t>
  </si>
  <si>
    <t>BPDS-34114-0715</t>
  </si>
  <si>
    <t>BPDS-34114-0715/22</t>
  </si>
  <si>
    <t>BPDS-34114-0805</t>
  </si>
  <si>
    <t>BPDS-34114-0806</t>
  </si>
  <si>
    <t>BPDS-34114-0807</t>
  </si>
  <si>
    <t>BPDS-34114-0808</t>
  </si>
  <si>
    <t>BPDS-34114-0808/22</t>
  </si>
  <si>
    <t>BPDS-34114-0809</t>
  </si>
  <si>
    <t>BPDS-34114-0809/22</t>
  </si>
  <si>
    <t>BPDS-34114-0810</t>
  </si>
  <si>
    <t>BPDS-34114-0812</t>
  </si>
  <si>
    <t>BPDS-34114-0812/22</t>
  </si>
  <si>
    <t>BPDS-34114-0814</t>
  </si>
  <si>
    <t>BPDS-34114-0815</t>
  </si>
  <si>
    <t>BPDS-34114-1005</t>
  </si>
  <si>
    <t>BPDS-34114-1006</t>
  </si>
  <si>
    <t>BPDS-34114-1007</t>
  </si>
  <si>
    <t>BPDS-34114-1008</t>
  </si>
  <si>
    <t>BPDS-34114-1008/22</t>
  </si>
  <si>
    <t>BPDS-34114-1009</t>
  </si>
  <si>
    <t>BPDS-34114-1009/22</t>
  </si>
  <si>
    <t>BPDS-34114-1010</t>
  </si>
  <si>
    <t>BPDS-34114-1011</t>
  </si>
  <si>
    <t>BPDS-34114-1012</t>
  </si>
  <si>
    <t>BPDS-34114-1012/22</t>
  </si>
  <si>
    <t>BPDS-34114-1013</t>
  </si>
  <si>
    <t>BPDS-34114-1015</t>
  </si>
  <si>
    <t>BPDS-34114-1106</t>
  </si>
  <si>
    <t>BPDS-34114-1107</t>
  </si>
  <si>
    <t>BPDS-34114-1108</t>
  </si>
  <si>
    <t>BPDS-34114-1109</t>
  </si>
  <si>
    <t>BPDS-34114-1110</t>
  </si>
  <si>
    <t>BPDS-34114-1114</t>
  </si>
  <si>
    <t>BPDS-34114-1115</t>
  </si>
  <si>
    <t>BPDS-41993-0705</t>
  </si>
  <si>
    <t>BPDS-41993-0707</t>
  </si>
  <si>
    <t>BPDS-41993-0710</t>
  </si>
  <si>
    <t>BPDS-41993-1005</t>
  </si>
  <si>
    <t>BPDS-41993-1007</t>
  </si>
  <si>
    <t>BPDS-41993-1010</t>
  </si>
  <si>
    <t>BPDS-43114-0707</t>
  </si>
  <si>
    <t>BPDS-43114-0707/17</t>
  </si>
  <si>
    <t>BPDS-43114-0709</t>
  </si>
  <si>
    <t>BPDS-43114-0709/17</t>
  </si>
  <si>
    <t>BPDS-43114-0712/17</t>
  </si>
  <si>
    <t>BPDS-43114-0715/17</t>
  </si>
  <si>
    <t>BPDS-43114-0807/22</t>
  </si>
  <si>
    <t>BPDS-43114-0809</t>
  </si>
  <si>
    <t>BPDS-43114-0809/22</t>
  </si>
  <si>
    <t>BPDS-43114-0812</t>
  </si>
  <si>
    <t>BPDS-43114-0812/22</t>
  </si>
  <si>
    <t>BPDS-43114-0815/22</t>
  </si>
  <si>
    <t>BPDS-43114-1007/22</t>
  </si>
  <si>
    <t>BPDS-43114-1009</t>
  </si>
  <si>
    <t>BPDS-43114-1009/22</t>
  </si>
  <si>
    <t>BPDS-43114-1012</t>
  </si>
  <si>
    <t>BPDS-43114-1012/22</t>
  </si>
  <si>
    <t>BPDS-43114-1015</t>
  </si>
  <si>
    <t>BPDS-43114-1015/22</t>
  </si>
  <si>
    <t>BPDS-44114-0707</t>
  </si>
  <si>
    <t>BPDS-44114-0707/17</t>
  </si>
  <si>
    <t>BPDS-44114-0709</t>
  </si>
  <si>
    <t>BPDS-44114-0709/17</t>
  </si>
  <si>
    <t>BPDS-44114-0712</t>
  </si>
  <si>
    <t>BPDS-44114-0712/17</t>
  </si>
  <si>
    <t>BPDS-44114-0715/17</t>
  </si>
  <si>
    <t>BPDS-44114-0807/22</t>
  </si>
  <si>
    <t>BPDS-44114-0809</t>
  </si>
  <si>
    <t>BPDS-44114-0809/22</t>
  </si>
  <si>
    <t>BPDS-44114-0812</t>
  </si>
  <si>
    <t>BPDS-44114-0812/22</t>
  </si>
  <si>
    <t>BPDS-44114-0815</t>
  </si>
  <si>
    <t>BPDS-44114-0815/22</t>
  </si>
  <si>
    <t>BPDS-44114-1007/22</t>
  </si>
  <si>
    <t>BPDS-44114-1009</t>
  </si>
  <si>
    <t>BPDS-44114-1009/22</t>
  </si>
  <si>
    <t>BPDS-44114-1012</t>
  </si>
  <si>
    <t>BPDS-44114-1012/22</t>
  </si>
  <si>
    <t>BPDS-44114-1015</t>
  </si>
  <si>
    <t>BPDS-44114-1015/22</t>
  </si>
  <si>
    <t>BW01-FUJ4-F7</t>
  </si>
  <si>
    <t>CB10-0030/09-S</t>
  </si>
  <si>
    <t>CB13-50120/01</t>
  </si>
  <si>
    <t>CB18-5050/18</t>
  </si>
  <si>
    <t>CB18-5050/23</t>
  </si>
  <si>
    <t>CB18-T0050/23-B</t>
  </si>
  <si>
    <t>CB18-T5050/23</t>
  </si>
  <si>
    <t>CB23-T5050/23</t>
  </si>
  <si>
    <t>CB23-T5050/23-B</t>
  </si>
  <si>
    <t>CDS11004</t>
  </si>
  <si>
    <t>CDS11005</t>
  </si>
  <si>
    <t>CDS22004</t>
  </si>
  <si>
    <t>CDS22005</t>
  </si>
  <si>
    <t>CEB02020</t>
  </si>
  <si>
    <t>CEB02023</t>
  </si>
  <si>
    <t>CEB03030</t>
  </si>
  <si>
    <t>CF165-A</t>
  </si>
  <si>
    <t>CF165-B</t>
  </si>
  <si>
    <t>CF230-A</t>
  </si>
  <si>
    <t>CRB11104</t>
  </si>
  <si>
    <t>CRB12104</t>
  </si>
  <si>
    <t>CREDIT NOTE FOR PROMESURGICAL</t>
  </si>
  <si>
    <t>CS2-21523230</t>
  </si>
  <si>
    <t>CS3-21023230</t>
  </si>
  <si>
    <t>CS3-21523230</t>
  </si>
  <si>
    <t>CTP-01025</t>
  </si>
  <si>
    <t>CTP-02025</t>
  </si>
  <si>
    <t>CYB-18S-16C</t>
  </si>
  <si>
    <t>CYB-20S-12C</t>
  </si>
  <si>
    <t>CYB-20S-18C</t>
  </si>
  <si>
    <t>CYB-24S-12C</t>
  </si>
  <si>
    <t>CYB-24S-24C</t>
  </si>
  <si>
    <t>CYB-30S-12C</t>
  </si>
  <si>
    <t>CYB-30S-18C</t>
  </si>
  <si>
    <t>CYB-30S-23C</t>
  </si>
  <si>
    <t>CYB-30S-23C-18</t>
  </si>
  <si>
    <t>CYB-30S-24C</t>
  </si>
  <si>
    <t>CYB-40S-12C</t>
  </si>
  <si>
    <t>CYB-40S-18C</t>
  </si>
  <si>
    <t>CYB-40S-24C</t>
  </si>
  <si>
    <t>DC00001</t>
  </si>
  <si>
    <t>DG-18-08-21</t>
  </si>
  <si>
    <t>DSP-30025-111111</t>
  </si>
  <si>
    <t>DSP-30220-111111</t>
  </si>
  <si>
    <t>DSP-30220-111121</t>
  </si>
  <si>
    <t>DSP-30220-111211</t>
  </si>
  <si>
    <t>DSP-30225-111111</t>
  </si>
  <si>
    <t>DSP-30225-111121</t>
  </si>
  <si>
    <t>DSP-30225-111211</t>
  </si>
  <si>
    <t>DSP-30225-111221</t>
  </si>
  <si>
    <t>DSP-30230-111111</t>
  </si>
  <si>
    <t>DSP-30230-111211</t>
  </si>
  <si>
    <t>DSP-30505-121111</t>
  </si>
  <si>
    <t>DSP-30507-121111</t>
  </si>
  <si>
    <t>DSP-30507-121211</t>
  </si>
  <si>
    <t>DSP-30520-111111</t>
  </si>
  <si>
    <t>DSP-30520-111121</t>
  </si>
  <si>
    <t>DSP-30520-111221</t>
  </si>
  <si>
    <t>DSP-30525-111111</t>
  </si>
  <si>
    <t>DSP-30525-111121</t>
  </si>
  <si>
    <t>DSP-30525-111221</t>
  </si>
  <si>
    <t>DSP-30530-111111</t>
  </si>
  <si>
    <t>DSP-30530-111121</t>
  </si>
  <si>
    <t>DSP-30530-111221</t>
  </si>
  <si>
    <t>DSP-31025-111211</t>
  </si>
  <si>
    <t>DYZ-04-15</t>
  </si>
  <si>
    <t>DYZ-08-10</t>
  </si>
  <si>
    <t>EBF01-11018120</t>
  </si>
  <si>
    <t>EBF03-11018180</t>
  </si>
  <si>
    <t>EBF03-11023180</t>
  </si>
  <si>
    <t>EBF03-11023230</t>
  </si>
  <si>
    <t>EBF13-11118180</t>
  </si>
  <si>
    <t>EBF33-11018120</t>
  </si>
  <si>
    <t>EBF33-11018180</t>
  </si>
  <si>
    <t>EBF33-11018230</t>
  </si>
  <si>
    <t>EBF33-11023160</t>
  </si>
  <si>
    <t>EBF33-11023180</t>
  </si>
  <si>
    <t>EBF33-11023230</t>
  </si>
  <si>
    <t>EBF33-11123180</t>
  </si>
  <si>
    <t>EBF33-11123230</t>
  </si>
  <si>
    <t>EBF43-11018120</t>
  </si>
  <si>
    <t>EBF43-11018180</t>
  </si>
  <si>
    <t>EBF43-11018230</t>
  </si>
  <si>
    <t>EBF43-11023120</t>
  </si>
  <si>
    <t>EBF43-11023180</t>
  </si>
  <si>
    <t>EBF43-11023230</t>
  </si>
  <si>
    <t>EBF43-11123160</t>
  </si>
  <si>
    <t>EBF43-11123180</t>
  </si>
  <si>
    <t>EBF43-11123230</t>
  </si>
  <si>
    <t>EBF51-11023180</t>
  </si>
  <si>
    <t>EBF51-11023230</t>
  </si>
  <si>
    <t>EBF53-11018120</t>
  </si>
  <si>
    <t>EBF53-11018180</t>
  </si>
  <si>
    <t>EBF63-11123230</t>
  </si>
  <si>
    <t>EBUS00001</t>
  </si>
  <si>
    <t>EBUS00002</t>
  </si>
  <si>
    <t>EDO-1000-5</t>
  </si>
  <si>
    <t>EL27C115VEHL</t>
  </si>
  <si>
    <t>EL27C230VEHL</t>
  </si>
  <si>
    <t>EM-S-01</t>
  </si>
  <si>
    <t>EM-S-02</t>
  </si>
  <si>
    <t>ENDOSCREENER-LEASE</t>
  </si>
  <si>
    <t>ENK-10-05</t>
  </si>
  <si>
    <t>ENK-10-12</t>
  </si>
  <si>
    <t>EPMD-1-H</t>
  </si>
  <si>
    <t>EPMD-2-H</t>
  </si>
  <si>
    <t>ESDT-9090</t>
  </si>
  <si>
    <t>ETS00006</t>
  </si>
  <si>
    <t>ETS10002</t>
  </si>
  <si>
    <t>ETS10008</t>
  </si>
  <si>
    <t>EUS-19-0-F</t>
  </si>
  <si>
    <t>EUS-19-1-F</t>
  </si>
  <si>
    <t>EUS-19-1-FS</t>
  </si>
  <si>
    <t>EUS-22-0-F</t>
  </si>
  <si>
    <t>EUS-22-1-F</t>
  </si>
  <si>
    <t>EUS-22-1-FS</t>
  </si>
  <si>
    <t>EV-11050</t>
  </si>
  <si>
    <t>FG-20F-BLUE</t>
  </si>
  <si>
    <t>FG-20F-BLUE-REP</t>
  </si>
  <si>
    <t>FG-20F-GREEN</t>
  </si>
  <si>
    <t>FG-20F-GREEN-REP</t>
  </si>
  <si>
    <t>FG-20F-ORANGE</t>
  </si>
  <si>
    <t>FG-20F-ORANGE-REP</t>
  </si>
  <si>
    <t>FG-20F-PINK</t>
  </si>
  <si>
    <t>FG-20F-PINK-REP</t>
  </si>
  <si>
    <t>FG-20F-YELLOW</t>
  </si>
  <si>
    <t>FG-20F-YELLOW-REP</t>
  </si>
  <si>
    <t>FG-MES</t>
  </si>
  <si>
    <t>FWB-08/80-6/18-M</t>
  </si>
  <si>
    <t>FWB-10/80-6/18-M</t>
  </si>
  <si>
    <t>FWB-12/80-6/18-M</t>
  </si>
  <si>
    <t>FWB-15/80-6/18-M</t>
  </si>
  <si>
    <t>FWB-18/80-6/18-M</t>
  </si>
  <si>
    <t>HBF05-11018120</t>
  </si>
  <si>
    <t>HBF05-11018160</t>
  </si>
  <si>
    <t>HBF05-11018180</t>
  </si>
  <si>
    <t>HBF05-11018230</t>
  </si>
  <si>
    <t>HBF05-11023120</t>
  </si>
  <si>
    <t>HBF05-11023160</t>
  </si>
  <si>
    <t>HBF05-11023180</t>
  </si>
  <si>
    <t>HBF05-11023230</t>
  </si>
  <si>
    <t>HBF55-11023230</t>
  </si>
  <si>
    <t>HBF65-11023230</t>
  </si>
  <si>
    <t>HCCD-0-165-M-C</t>
  </si>
  <si>
    <t>HMBLS-4F-NL</t>
  </si>
  <si>
    <t>IN02-194232302</t>
  </si>
  <si>
    <t>IN02-195232302</t>
  </si>
  <si>
    <t>IN02-224232302</t>
  </si>
  <si>
    <t>IN02-225231802</t>
  </si>
  <si>
    <t>IN02-225232302</t>
  </si>
  <si>
    <t>IN02-234231802</t>
  </si>
  <si>
    <t>IN02-234232002</t>
  </si>
  <si>
    <t>IN02-234232302</t>
  </si>
  <si>
    <t>IN02-235232302</t>
  </si>
  <si>
    <t>IN02-235233002</t>
  </si>
  <si>
    <t>IN02-254232302</t>
  </si>
  <si>
    <t>IN02-255232301</t>
  </si>
  <si>
    <t>IN02-255232302</t>
  </si>
  <si>
    <t>IN12-194231802</t>
  </si>
  <si>
    <t>IN12-194232002</t>
  </si>
  <si>
    <t>IN12-194232502</t>
  </si>
  <si>
    <t>IN12-195231802</t>
  </si>
  <si>
    <t>IN12-195232002</t>
  </si>
  <si>
    <t>IN12-195232502</t>
  </si>
  <si>
    <t>IN12-196231802</t>
  </si>
  <si>
    <t>IN12-196232002</t>
  </si>
  <si>
    <t>IN12-196232302</t>
  </si>
  <si>
    <t>IN12-196232502</t>
  </si>
  <si>
    <t>IN12-223232302</t>
  </si>
  <si>
    <t>IN12-224231802</t>
  </si>
  <si>
    <t>IN12-224232002</t>
  </si>
  <si>
    <t>IN12-224232502</t>
  </si>
  <si>
    <t>IN12-225181802</t>
  </si>
  <si>
    <t>IN12-225231802</t>
  </si>
  <si>
    <t>IN12-225232002</t>
  </si>
  <si>
    <t>IN12-225232502</t>
  </si>
  <si>
    <t>IN12-226231802</t>
  </si>
  <si>
    <t>IN12-226232002</t>
  </si>
  <si>
    <t>IN12-226232302</t>
  </si>
  <si>
    <t>IN12-226232502</t>
  </si>
  <si>
    <t>IN12-234231802</t>
  </si>
  <si>
    <t>IN12-234232002</t>
  </si>
  <si>
    <t>IN12-234232302</t>
  </si>
  <si>
    <t>IN12-234232502</t>
  </si>
  <si>
    <t>IN12-235231802</t>
  </si>
  <si>
    <t>IN12-235232002</t>
  </si>
  <si>
    <t>IN12-235232302</t>
  </si>
  <si>
    <t>IN12-236232002</t>
  </si>
  <si>
    <t>IN12-236232502</t>
  </si>
  <si>
    <t>IN12-253232302</t>
  </si>
  <si>
    <t>IN12-254231802</t>
  </si>
  <si>
    <t>IN12-254232002</t>
  </si>
  <si>
    <t>IN12-255231802</t>
  </si>
  <si>
    <t>IN12-255232002</t>
  </si>
  <si>
    <t>IN12-256231802</t>
  </si>
  <si>
    <t>IN12-256232002</t>
  </si>
  <si>
    <t>IN12-256232302</t>
  </si>
  <si>
    <t>IN12-256232502</t>
  </si>
  <si>
    <t>JSNBF63-10128230</t>
  </si>
  <si>
    <t>JSNBF63-10133230</t>
  </si>
  <si>
    <t>LCEBF63-10024230</t>
  </si>
  <si>
    <t>LCEBF63-10124180</t>
  </si>
  <si>
    <t>LCEBF63-10124230</t>
  </si>
  <si>
    <t>LCNBF13-10024180</t>
  </si>
  <si>
    <t>LCNBF13-10124180</t>
  </si>
  <si>
    <t>LCNBF13-10124230</t>
  </si>
  <si>
    <t>LCNBF63-10024120</t>
  </si>
  <si>
    <t>LCNBF63-10024160</t>
  </si>
  <si>
    <t>LCNBF63-10024180</t>
  </si>
  <si>
    <t>LCNBF63-10024230</t>
  </si>
  <si>
    <t>LCNBF63-10124120</t>
  </si>
  <si>
    <t>LCNBF63-10124160</t>
  </si>
  <si>
    <t>LCNBF63-10124180</t>
  </si>
  <si>
    <t>LCNBF63-10124230</t>
  </si>
  <si>
    <t>LOCK-C-26-230-C</t>
  </si>
  <si>
    <t>LOCK-C-26-235-C-N</t>
  </si>
  <si>
    <t>LOCK-D-26-165-C-N</t>
  </si>
  <si>
    <t>LOCK-D-26-230-C</t>
  </si>
  <si>
    <t>LOCK-F-26-165-C-N</t>
  </si>
  <si>
    <t>LOCK-F-26-230-C</t>
  </si>
  <si>
    <t>LOCK-G-26-165-C-N</t>
  </si>
  <si>
    <t>LOCK-G-26-230-C</t>
  </si>
  <si>
    <t>MBD-AL-BA-2</t>
  </si>
  <si>
    <t>MBD-AM-BA-2</t>
  </si>
  <si>
    <t>MBD-AS-BA-2</t>
  </si>
  <si>
    <t>MBD-BL-BA-2</t>
  </si>
  <si>
    <t>MBD-BS-BA-2</t>
  </si>
  <si>
    <t>MBD-CL-BA-2</t>
  </si>
  <si>
    <t>MBD-CS-BA-2</t>
  </si>
  <si>
    <t>MBD-DL-BA-2</t>
  </si>
  <si>
    <t>MBD-DS-BA-2</t>
  </si>
  <si>
    <t>MBD-EL-BA-2</t>
  </si>
  <si>
    <t>MBD-FL-BA-2</t>
  </si>
  <si>
    <t>MBLS-6F</t>
  </si>
  <si>
    <t>MBLS-6F-NL</t>
  </si>
  <si>
    <t>MBLS-7F</t>
  </si>
  <si>
    <t>MBLS-7F-NL</t>
  </si>
  <si>
    <t>MBLS-XL-6F-NL</t>
  </si>
  <si>
    <t>MBLS-XL-7F-NL</t>
  </si>
  <si>
    <t>MD-A-BV02</t>
  </si>
  <si>
    <t>MD-B-BV02</t>
  </si>
  <si>
    <t>MDBB1AY002A</t>
  </si>
  <si>
    <t>MDBB1AY003A</t>
  </si>
  <si>
    <t>MDBR1A0504A</t>
  </si>
  <si>
    <t>MDBR1B0005A</t>
  </si>
  <si>
    <t>MDBR1B0014A</t>
  </si>
  <si>
    <t>MDBR1B0015A</t>
  </si>
  <si>
    <t>MDBR1B0016A</t>
  </si>
  <si>
    <t>MDHL100000A</t>
  </si>
  <si>
    <t>MDKT1A0002A</t>
  </si>
  <si>
    <t>MDKT1A0003A</t>
  </si>
  <si>
    <t>MDPT1A0002A</t>
  </si>
  <si>
    <t>MDSB1B0001A</t>
  </si>
  <si>
    <t>ME250217101</t>
  </si>
  <si>
    <t>ME250217102</t>
  </si>
  <si>
    <t>MEB250221023</t>
  </si>
  <si>
    <t>MEN250218005</t>
  </si>
  <si>
    <t>MEN250224008</t>
  </si>
  <si>
    <t>MES250226101</t>
  </si>
  <si>
    <t>MES250226102</t>
  </si>
  <si>
    <t>MES250226103</t>
  </si>
  <si>
    <t>MES250226104</t>
  </si>
  <si>
    <t>MK-I-1-235</t>
  </si>
  <si>
    <t>MK-I-2-195</t>
  </si>
  <si>
    <t>MK-I-4-165</t>
  </si>
  <si>
    <t>MK-I-4-195</t>
  </si>
  <si>
    <t>MK-I-4-235</t>
  </si>
  <si>
    <t>MK-IT-4-195-N</t>
  </si>
  <si>
    <t>MK-IT-4-235-N</t>
  </si>
  <si>
    <t>MK-O-2-165</t>
  </si>
  <si>
    <t>MK-O-2-235</t>
  </si>
  <si>
    <t>MK-O-4-235</t>
  </si>
  <si>
    <t>MK-T-1-165</t>
  </si>
  <si>
    <t>MK-T-2-165</t>
  </si>
  <si>
    <t>MK-T-4-165</t>
  </si>
  <si>
    <t>MK-T-4-195</t>
  </si>
  <si>
    <t>MT-RGL-O</t>
  </si>
  <si>
    <t>MT-RGL-P</t>
  </si>
  <si>
    <t>MTN-BM-45/45-A</t>
  </si>
  <si>
    <t>MTN-BM-53/45-A</t>
  </si>
  <si>
    <t>MTN-BM-53/45-A-J</t>
  </si>
  <si>
    <t>MTN-BM-63/26-A</t>
  </si>
  <si>
    <t>MTN-BM-63/26-A-J</t>
  </si>
  <si>
    <t>MTN-BM-63/45-A-J</t>
  </si>
  <si>
    <t>MTN-BM-63/45-A-S</t>
  </si>
  <si>
    <t>MTN-BM-89/26-A</t>
  </si>
  <si>
    <t>MTN-BM-89/26-A-J</t>
  </si>
  <si>
    <t>MTN-BM-89/26-A-S</t>
  </si>
  <si>
    <t>MTN-BM-89/45-A-J-S</t>
  </si>
  <si>
    <t>MTN-BM-89/45-A-S</t>
  </si>
  <si>
    <t>MTNBM8945A</t>
  </si>
  <si>
    <t>N/A</t>
  </si>
  <si>
    <t>NBF01-01030230</t>
  </si>
  <si>
    <t>NBF01-01130230</t>
  </si>
  <si>
    <t>NBF01-11018120</t>
  </si>
  <si>
    <t>NBF01-11018160</t>
  </si>
  <si>
    <t>NBF01-11018180</t>
  </si>
  <si>
    <t>NBF01-11023180</t>
  </si>
  <si>
    <t>NBF01-11023230</t>
  </si>
  <si>
    <t>NBF01-11118120</t>
  </si>
  <si>
    <t>NBF01-11118160</t>
  </si>
  <si>
    <t>NBF01-11123160</t>
  </si>
  <si>
    <t>NBF01-11123180</t>
  </si>
  <si>
    <t>NBF01-11123230</t>
  </si>
  <si>
    <t>NBF01-11123230-A</t>
  </si>
  <si>
    <t>NBF02-11018120</t>
  </si>
  <si>
    <t>NBF02-11018160</t>
  </si>
  <si>
    <t>NBF02-11018180</t>
  </si>
  <si>
    <t>NBF02-11118120</t>
  </si>
  <si>
    <t>NBF02-11118160</t>
  </si>
  <si>
    <t>NBF02-11118180</t>
  </si>
  <si>
    <t>NBF03-01023160</t>
  </si>
  <si>
    <t>NBF03-01023180</t>
  </si>
  <si>
    <t>NBF03-01023230</t>
  </si>
  <si>
    <t>NBF03-01030180</t>
  </si>
  <si>
    <t>NBF03-01030230</t>
  </si>
  <si>
    <t>NBF03-01130230</t>
  </si>
  <si>
    <t>NBF03-11018120</t>
  </si>
  <si>
    <t>NBF03-11018160</t>
  </si>
  <si>
    <t>NBF03-11018180</t>
  </si>
  <si>
    <t>NBF03-11018230</t>
  </si>
  <si>
    <t>NBF03-11023160</t>
  </si>
  <si>
    <t>NBF03-11118180</t>
  </si>
  <si>
    <t>NBF03-11123160</t>
  </si>
  <si>
    <t>NBF03-11123180</t>
  </si>
  <si>
    <t>NBF03-11123230</t>
  </si>
  <si>
    <t>NBF11-11018120</t>
  </si>
  <si>
    <t>NBF11-11018230</t>
  </si>
  <si>
    <t>NBF11-11023160</t>
  </si>
  <si>
    <t>NBF11-11023180</t>
  </si>
  <si>
    <t>NBF11-11023230</t>
  </si>
  <si>
    <t>NBF11-11123160</t>
  </si>
  <si>
    <t>NBF11-11123230</t>
  </si>
  <si>
    <t>NBF12-11018120</t>
  </si>
  <si>
    <t>NBF12-11018160</t>
  </si>
  <si>
    <t>NBF12-11018180</t>
  </si>
  <si>
    <t>NBF12-11118160</t>
  </si>
  <si>
    <t>NBF13-01030230</t>
  </si>
  <si>
    <t>NBF13-01130230</t>
  </si>
  <si>
    <t>NBF13-11018120</t>
  </si>
  <si>
    <t>NBF13-11018160</t>
  </si>
  <si>
    <t>NBF13-11018180</t>
  </si>
  <si>
    <t>NBF13-11023180</t>
  </si>
  <si>
    <t>NBF13-11118160</t>
  </si>
  <si>
    <t>NBF13-11123180</t>
  </si>
  <si>
    <t>NBF13-11123230</t>
  </si>
  <si>
    <t>NBF53-11023230</t>
  </si>
  <si>
    <t>NBF63-11023180</t>
  </si>
  <si>
    <t>NBF63-11123180</t>
  </si>
  <si>
    <t>NBF63-11123230</t>
  </si>
  <si>
    <t>NGF01-11023230</t>
  </si>
  <si>
    <t>NGF03-11023180</t>
  </si>
  <si>
    <t>NGF13-11023160</t>
  </si>
  <si>
    <t>NGF13-11023180</t>
  </si>
  <si>
    <t>NGF31-11023230</t>
  </si>
  <si>
    <t>NGF32-11018120</t>
  </si>
  <si>
    <t>NGF32-11018180</t>
  </si>
  <si>
    <t>NGF33-11018120</t>
  </si>
  <si>
    <t>NGF33-11018180</t>
  </si>
  <si>
    <t>NGF33-11018230</t>
  </si>
  <si>
    <t>NGF33-11023180</t>
  </si>
  <si>
    <t>NHBF55-11023180</t>
  </si>
  <si>
    <t>NHBF65-11023230</t>
  </si>
  <si>
    <t>NPFS01-01023230</t>
  </si>
  <si>
    <t>NPFS01-01523230</t>
  </si>
  <si>
    <t>NPFS01-02023230</t>
  </si>
  <si>
    <t>NPFS01-02423230</t>
  </si>
  <si>
    <t>NPFS01-03023230</t>
  </si>
  <si>
    <t>NPFS02-01023230</t>
  </si>
  <si>
    <t>NPFS02-01523230</t>
  </si>
  <si>
    <t>NPFS02-02023230</t>
  </si>
  <si>
    <t>NPFS02-02423230</t>
  </si>
  <si>
    <t>NPFS02-03023230</t>
  </si>
  <si>
    <t>NPFS02-03623230</t>
  </si>
  <si>
    <t>NST01-111-20.080</t>
  </si>
  <si>
    <t>NST01-111-20.100</t>
  </si>
  <si>
    <t>NST01-111-20.120</t>
  </si>
  <si>
    <t>NST01-111-20.140</t>
  </si>
  <si>
    <t>NST01-111-20.150</t>
  </si>
  <si>
    <t>NST01-111-20.160</t>
  </si>
  <si>
    <t>NST01-111-24.080</t>
  </si>
  <si>
    <t>NST01-111-24.100</t>
  </si>
  <si>
    <t>NST01-111-24.120</t>
  </si>
  <si>
    <t>NST01-111-24.140</t>
  </si>
  <si>
    <t>NST01-111-24.150</t>
  </si>
  <si>
    <t>NST01-112-20.080</t>
  </si>
  <si>
    <t>NST01-112-20.100</t>
  </si>
  <si>
    <t>NST01-112-20.120</t>
  </si>
  <si>
    <t>NST01-112-20.140</t>
  </si>
  <si>
    <t>NST01-112-20.150</t>
  </si>
  <si>
    <t>NST01-112-20.160</t>
  </si>
  <si>
    <t>NST01-112-22.080</t>
  </si>
  <si>
    <t>NST01-112-22.120</t>
  </si>
  <si>
    <t>NST01-112-24.100</t>
  </si>
  <si>
    <t>NST01-112-24.120</t>
  </si>
  <si>
    <t>NST01-112-24.140</t>
  </si>
  <si>
    <t>NST01-112-24.150</t>
  </si>
  <si>
    <t>NST01-112-24.160</t>
  </si>
  <si>
    <t>NST01-114-20.080</t>
  </si>
  <si>
    <t>NST01-114-20.100</t>
  </si>
  <si>
    <t>NST01-114-20.120</t>
  </si>
  <si>
    <t>NST01-114-20.140</t>
  </si>
  <si>
    <t>NST01-114-20.150</t>
  </si>
  <si>
    <t>NST01-114-20.160</t>
  </si>
  <si>
    <t>NST01-114-22.080</t>
  </si>
  <si>
    <t>NST01-114-22.100</t>
  </si>
  <si>
    <t>NST01-114-24.100</t>
  </si>
  <si>
    <t>NST01-114-24.120</t>
  </si>
  <si>
    <t>NST01-114-24.140</t>
  </si>
  <si>
    <t>NST01-221-20.100</t>
  </si>
  <si>
    <t>NST01-221-24.120</t>
  </si>
  <si>
    <t>NST01-221-24.140</t>
  </si>
  <si>
    <t>NST01-221-24.150</t>
  </si>
  <si>
    <t>NST01-221-28.100</t>
  </si>
  <si>
    <t>NST01-221-28.120</t>
  </si>
  <si>
    <t>NST01-222-18.060</t>
  </si>
  <si>
    <t>NST01-222-18.100</t>
  </si>
  <si>
    <t>NST01-222-18.120</t>
  </si>
  <si>
    <t>NST01-222-18.150</t>
  </si>
  <si>
    <t>NST01-222-20.060</t>
  </si>
  <si>
    <t>NST01-222-20.080</t>
  </si>
  <si>
    <t>NST01-222-20.100</t>
  </si>
  <si>
    <t>NST01-222-20.120</t>
  </si>
  <si>
    <t>NST01-222-20.140</t>
  </si>
  <si>
    <t>NST01-222-20.150</t>
  </si>
  <si>
    <t>NST01-222-20.160</t>
  </si>
  <si>
    <t>NST01-222-22.080</t>
  </si>
  <si>
    <t>NST01-222-24.100</t>
  </si>
  <si>
    <t>NST01-222-24.120</t>
  </si>
  <si>
    <t>NST01-222-24.150</t>
  </si>
  <si>
    <t>NST01-222-24.160</t>
  </si>
  <si>
    <t>NST01-224-18.060</t>
  </si>
  <si>
    <t>NST01-224-18.080</t>
  </si>
  <si>
    <t>NST01-224-18.100</t>
  </si>
  <si>
    <t>NST01-224-18.120</t>
  </si>
  <si>
    <t>NST01-224-18.150</t>
  </si>
  <si>
    <t>NST01-224-20.080</t>
  </si>
  <si>
    <t>NST01-224-20.100</t>
  </si>
  <si>
    <t>NST01-224-20.120</t>
  </si>
  <si>
    <t>NST01-224-20.140</t>
  </si>
  <si>
    <t>NST01-224-20.150</t>
  </si>
  <si>
    <t>NST01-224-20.160</t>
  </si>
  <si>
    <t>NST01-224-22.060</t>
  </si>
  <si>
    <t>NST01-224-22.080</t>
  </si>
  <si>
    <t>NST01-224-24.100</t>
  </si>
  <si>
    <t>NST01-224-24.120</t>
  </si>
  <si>
    <t>NST01-224-24.140</t>
  </si>
  <si>
    <t>NST01-224-24.150</t>
  </si>
  <si>
    <t>NST01-224-28.160</t>
  </si>
  <si>
    <t>NST01-231-18.100</t>
  </si>
  <si>
    <t>NST01-231-20.120</t>
  </si>
  <si>
    <t>NST01-232-18.060</t>
  </si>
  <si>
    <t>NST01-232-18.080</t>
  </si>
  <si>
    <t>NST01-232-18.100</t>
  </si>
  <si>
    <t>NST01-232-20.120</t>
  </si>
  <si>
    <t>NST01-232-20.150</t>
  </si>
  <si>
    <t>NST01-232-22.080</t>
  </si>
  <si>
    <t>NST01-232-22.100</t>
  </si>
  <si>
    <t>NST01-232-22.120</t>
  </si>
  <si>
    <t>NST01-232-22.140</t>
  </si>
  <si>
    <t>NST01-234-18.120</t>
  </si>
  <si>
    <t>NST01-234-20.100</t>
  </si>
  <si>
    <t>NST01-234-20.120</t>
  </si>
  <si>
    <t>NST01-234-22.100</t>
  </si>
  <si>
    <t>NST01-234-22.120</t>
  </si>
  <si>
    <t>NST01-234-22.140</t>
  </si>
  <si>
    <t>NST02-332-10.030</t>
  </si>
  <si>
    <t>NST02-332-10.040</t>
  </si>
  <si>
    <t>NST02-332-12.030</t>
  </si>
  <si>
    <t>NST02-332-12.040</t>
  </si>
  <si>
    <t>NST02-332-14.030</t>
  </si>
  <si>
    <t>NST02-332-14.040</t>
  </si>
  <si>
    <t>NST02-332-14.050</t>
  </si>
  <si>
    <t>NST02-334-10.020</t>
  </si>
  <si>
    <t>NST02-334-10.030</t>
  </si>
  <si>
    <t>NST02-334-10.040</t>
  </si>
  <si>
    <t>NST02-334-12.020</t>
  </si>
  <si>
    <t>NST02-334-12.030</t>
  </si>
  <si>
    <t>NST02-334-12.060</t>
  </si>
  <si>
    <t>NST02-334-14.030</t>
  </si>
  <si>
    <t>NST02-334-14.060</t>
  </si>
  <si>
    <t>NST02-334-16.040</t>
  </si>
  <si>
    <t>NST02-334-16.050</t>
  </si>
  <si>
    <t>NST02-334-18.060</t>
  </si>
  <si>
    <t>NST02-334-18.070</t>
  </si>
  <si>
    <t>NST02-334-18.080</t>
  </si>
  <si>
    <t>NST02-334-20.040</t>
  </si>
  <si>
    <t>NST02-334-20.050</t>
  </si>
  <si>
    <t>NST02-334-20.070</t>
  </si>
  <si>
    <t>NST02-962-18.040-234</t>
  </si>
  <si>
    <t>NST02-962-18.060-234</t>
  </si>
  <si>
    <t>NST02-962-18.060-235</t>
  </si>
  <si>
    <t>NST02-962-20.050-106</t>
  </si>
  <si>
    <t>NST02-962-20.050-110</t>
  </si>
  <si>
    <t>NST02-962-20.060-111</t>
  </si>
  <si>
    <t>NST02-964-18.060-234</t>
  </si>
  <si>
    <t>NST03-001-08.060</t>
  </si>
  <si>
    <t>NST03-001-08.080</t>
  </si>
  <si>
    <t>NST03-001-08.100</t>
  </si>
  <si>
    <t>NST03-001-10.040</t>
  </si>
  <si>
    <t>NST03-001-10.060</t>
  </si>
  <si>
    <t>NST03-001-10.120</t>
  </si>
  <si>
    <t>NST03-002-08.060</t>
  </si>
  <si>
    <t>NST03-002-08.080</t>
  </si>
  <si>
    <t>NST03-002-10.040</t>
  </si>
  <si>
    <t>NST03-002-10.060</t>
  </si>
  <si>
    <t>NST03-002-10.080</t>
  </si>
  <si>
    <t>NST03-002-10.100</t>
  </si>
  <si>
    <t>NST03-004-08.060</t>
  </si>
  <si>
    <t>NST03-004-10.040</t>
  </si>
  <si>
    <t>NST03-004-10.060</t>
  </si>
  <si>
    <t>NST03-101-10.060</t>
  </si>
  <si>
    <t>NST03-101-10.080</t>
  </si>
  <si>
    <t>NST03-104-10.060</t>
  </si>
  <si>
    <t>NST03-111-10.080</t>
  </si>
  <si>
    <t>NST03-112-10.080</t>
  </si>
  <si>
    <t>NST03-114-10.060</t>
  </si>
  <si>
    <t>NST03-114-10.080</t>
  </si>
  <si>
    <t>NST12-334-10.020</t>
  </si>
  <si>
    <t>NST12-334-10.030</t>
  </si>
  <si>
    <t>NST12-334-12.020</t>
  </si>
  <si>
    <t>NST12-334-14.040</t>
  </si>
  <si>
    <t>NST12-334-16.040</t>
  </si>
  <si>
    <t>NST12-334-16.050</t>
  </si>
  <si>
    <t>NST12-334-16.060</t>
  </si>
  <si>
    <t>NST12-334-18.060</t>
  </si>
  <si>
    <t>NST21-112-18.100</t>
  </si>
  <si>
    <t>NST21-112-18.120</t>
  </si>
  <si>
    <t>NST21-112-20.060</t>
  </si>
  <si>
    <t>NST21-112-20.080</t>
  </si>
  <si>
    <t>NST21-112-20.100</t>
  </si>
  <si>
    <t>NST21-112-20.120</t>
  </si>
  <si>
    <t>NST21-112-22.100</t>
  </si>
  <si>
    <t>NST21-112-22.120</t>
  </si>
  <si>
    <t>NST21-112-24.100</t>
  </si>
  <si>
    <t>NST21-112-24.120</t>
  </si>
  <si>
    <t>NST21-114-18.100</t>
  </si>
  <si>
    <t>NST21-114-18.120</t>
  </si>
  <si>
    <t>NST21-114-20.080</t>
  </si>
  <si>
    <t>NST21-114-20.100</t>
  </si>
  <si>
    <t>NST21-114-20.120</t>
  </si>
  <si>
    <t>NST21-114-20.140</t>
  </si>
  <si>
    <t>NST21-114-22.080</t>
  </si>
  <si>
    <t>NST21-114-22.100</t>
  </si>
  <si>
    <t>NST21-114-22.120</t>
  </si>
  <si>
    <t>NST21-114-24.100</t>
  </si>
  <si>
    <t>NST21-114-24.120</t>
  </si>
  <si>
    <t>NST21-232-20.060</t>
  </si>
  <si>
    <t>NST21-232-20.080</t>
  </si>
  <si>
    <t>NST21-232-20.100</t>
  </si>
  <si>
    <t>NST21-232-20.120</t>
  </si>
  <si>
    <t>NST21-232-20.140</t>
  </si>
  <si>
    <t>NST21-232-24.080</t>
  </si>
  <si>
    <t>NST21-232-24.100</t>
  </si>
  <si>
    <t>NST21-232-24.120</t>
  </si>
  <si>
    <t>NST21-232-24.140</t>
  </si>
  <si>
    <t>NST21-234-20.100</t>
  </si>
  <si>
    <t>NST21-234-20.120</t>
  </si>
  <si>
    <t>NST21-234-20.140</t>
  </si>
  <si>
    <t>NST21-234-24.100</t>
  </si>
  <si>
    <t>NST33-544-10.015</t>
  </si>
  <si>
    <t>NST33-544-10.020</t>
  </si>
  <si>
    <t>NST33-544-10.030</t>
  </si>
  <si>
    <t>NST33-544-12.015</t>
  </si>
  <si>
    <t>NST33-544-12.020</t>
  </si>
  <si>
    <t>NST33-544-12.025</t>
  </si>
  <si>
    <t>NST33-544-12.030</t>
  </si>
  <si>
    <t>NST33-544-14.015</t>
  </si>
  <si>
    <t>NST33-544-14.020</t>
  </si>
  <si>
    <t>NST33-544-14.025</t>
  </si>
  <si>
    <t>NST33-544-14.030</t>
  </si>
  <si>
    <t>NST33-544-16.015</t>
  </si>
  <si>
    <t>NST33-544-16.020</t>
  </si>
  <si>
    <t>NST33-544-16.025</t>
  </si>
  <si>
    <t>NST33-544-16.030</t>
  </si>
  <si>
    <t>NST61-224-18.100</t>
  </si>
  <si>
    <t>NST61-224-18.120</t>
  </si>
  <si>
    <t>NST61-224-18.160</t>
  </si>
  <si>
    <t>NST61-224-20.060</t>
  </si>
  <si>
    <t>NST61-224-20.080</t>
  </si>
  <si>
    <t>NST61-224-20.100</t>
  </si>
  <si>
    <t>NST61-224-20.120</t>
  </si>
  <si>
    <t>NST61-224-22.080</t>
  </si>
  <si>
    <t>NST61-224-22.100</t>
  </si>
  <si>
    <t>NST61-224-22.120</t>
  </si>
  <si>
    <t>NST61-224-22.140</t>
  </si>
  <si>
    <t>NST61-224-22.160</t>
  </si>
  <si>
    <t>NST64-331-22.100</t>
  </si>
  <si>
    <t>NST64-331-24.080</t>
  </si>
  <si>
    <t>NST64-331-24.100</t>
  </si>
  <si>
    <t>NST64-331-24.120</t>
  </si>
  <si>
    <t>NST64-331-26.080</t>
  </si>
  <si>
    <t>NST64-331-26.100</t>
  </si>
  <si>
    <t>NST64-332-24.080</t>
  </si>
  <si>
    <t>NST64-332-24.090</t>
  </si>
  <si>
    <t>NST64-332-24.100</t>
  </si>
  <si>
    <t>NST64-332-26.060</t>
  </si>
  <si>
    <t>NST64-332-26.080</t>
  </si>
  <si>
    <t>NST64-332-26.100</t>
  </si>
  <si>
    <t>NST64-334-24.080</t>
  </si>
  <si>
    <t>NST64-334-24.100</t>
  </si>
  <si>
    <t>NST64-334-24.120</t>
  </si>
  <si>
    <t>NST74-331-20.060</t>
  </si>
  <si>
    <t>NST74-331-20.080</t>
  </si>
  <si>
    <t>NST74-331-20.100</t>
  </si>
  <si>
    <t>NST74-331-20.120</t>
  </si>
  <si>
    <t>NST74-331-22.060</t>
  </si>
  <si>
    <t>NST74-331-22.080</t>
  </si>
  <si>
    <t>NST74-331-22.090</t>
  </si>
  <si>
    <t>NST74-331-22.100</t>
  </si>
  <si>
    <t>NST74-331-22.120</t>
  </si>
  <si>
    <t>NST74-331-24.080</t>
  </si>
  <si>
    <t>NST74-331-24.100</t>
  </si>
  <si>
    <t>NST74-331-24.120</t>
  </si>
  <si>
    <t>NST74-332-20.060</t>
  </si>
  <si>
    <t>NST74-332-20.080</t>
  </si>
  <si>
    <t>NST74-332-20.100</t>
  </si>
  <si>
    <t>NST74-332-20.120</t>
  </si>
  <si>
    <t>NST74-332-22.100</t>
  </si>
  <si>
    <t>NST74-332-22.120</t>
  </si>
  <si>
    <t>NST74-332-24.080</t>
  </si>
  <si>
    <t>NST74-332-24.100</t>
  </si>
  <si>
    <t>NST74-332-24.120</t>
  </si>
  <si>
    <t>NST74-334-20.060</t>
  </si>
  <si>
    <t>NST74-334-20.080</t>
  </si>
  <si>
    <t>NST74-334-20.100</t>
  </si>
  <si>
    <t>NST74-334-20.110</t>
  </si>
  <si>
    <t>NST74-334-20.120</t>
  </si>
  <si>
    <t>NST74-334-22.060</t>
  </si>
  <si>
    <t>NST74-334-22.080</t>
  </si>
  <si>
    <t>NST74-334-22.100</t>
  </si>
  <si>
    <t>NST74-334-22.120</t>
  </si>
  <si>
    <t>NST74-334-24.080</t>
  </si>
  <si>
    <t>NST74-334-24.100</t>
  </si>
  <si>
    <t>NST74-334-24.120</t>
  </si>
  <si>
    <t>NT-E-30/16-P</t>
  </si>
  <si>
    <t>P-DYZ-04-05</t>
  </si>
  <si>
    <t>P30950FST</t>
  </si>
  <si>
    <t>P243000FST</t>
  </si>
  <si>
    <t>P303000FST</t>
  </si>
  <si>
    <t>P453000FST</t>
  </si>
  <si>
    <t>PFS01-01023230</t>
  </si>
  <si>
    <t>PFS01-01523230</t>
  </si>
  <si>
    <t>PFS01-02023230</t>
  </si>
  <si>
    <t>PFS01-02023250</t>
  </si>
  <si>
    <t>PFS01-02423230</t>
  </si>
  <si>
    <t>PFS01-03023230</t>
  </si>
  <si>
    <t>PFS01-03023250</t>
  </si>
  <si>
    <t>PFS01-12023230</t>
  </si>
  <si>
    <t>PFS01-12423250</t>
  </si>
  <si>
    <t>PFS01-33023230</t>
  </si>
  <si>
    <t>PFS01-33023250</t>
  </si>
  <si>
    <t>PFS02-02423080</t>
  </si>
  <si>
    <t>PFS02-02423250</t>
  </si>
  <si>
    <t>PFS02-03023180</t>
  </si>
  <si>
    <t>PG-BB-001-A</t>
  </si>
  <si>
    <t>PG-BB-001-P</t>
  </si>
  <si>
    <t>PG-BF-011018120</t>
  </si>
  <si>
    <t>PG-BF-011018180</t>
  </si>
  <si>
    <t>PG-BF-011018230</t>
  </si>
  <si>
    <t>PG-BF-011023160</t>
  </si>
  <si>
    <t>PG-BF-011023180</t>
  </si>
  <si>
    <t>PG-BF-011023230</t>
  </si>
  <si>
    <t>PG-BF-011118120</t>
  </si>
  <si>
    <t>PG-BF-011123160</t>
  </si>
  <si>
    <t>PG-BF-011123180</t>
  </si>
  <si>
    <t>PG-BF-011123230</t>
  </si>
  <si>
    <t>PG-BF-012018120</t>
  </si>
  <si>
    <t>PG-BF-012018180</t>
  </si>
  <si>
    <t>PG-BF-012018230</t>
  </si>
  <si>
    <t>PG-BF-012023180</t>
  </si>
  <si>
    <t>PG-BF-012023230</t>
  </si>
  <si>
    <t>PG-BF-012123180</t>
  </si>
  <si>
    <t>PG-BF-012123230</t>
  </si>
  <si>
    <t>PG-BF-021032230</t>
  </si>
  <si>
    <t>PG-BF-022024180</t>
  </si>
  <si>
    <t>PG-BF-022024230</t>
  </si>
  <si>
    <t>PG-BL-000-7-0</t>
  </si>
  <si>
    <t>PG-BL-000-7-1</t>
  </si>
  <si>
    <t>PG-BV-00-O</t>
  </si>
  <si>
    <t>PG-BV-00-P</t>
  </si>
  <si>
    <t>PG-CB-021820523</t>
  </si>
  <si>
    <t>PG-CS-001023230</t>
  </si>
  <si>
    <t>PG-CS-001523230</t>
  </si>
  <si>
    <t>PG-DB-010632823</t>
  </si>
  <si>
    <t>PG-DB-010652818</t>
  </si>
  <si>
    <t>PG-DB-010652823</t>
  </si>
  <si>
    <t>PG-DB-010832823</t>
  </si>
  <si>
    <t>PG-DB-010852818</t>
  </si>
  <si>
    <t>PG-DB-010852823</t>
  </si>
  <si>
    <t>PG-DB-011032823</t>
  </si>
  <si>
    <t>PG-DB-011052818</t>
  </si>
  <si>
    <t>PG-DB-011052823</t>
  </si>
  <si>
    <t>PG-DB-011232823</t>
  </si>
  <si>
    <t>PG-DB-011252818</t>
  </si>
  <si>
    <t>PG-DB-011252823</t>
  </si>
  <si>
    <t>PG-DB-011552823</t>
  </si>
  <si>
    <t>PG-DB-011852823</t>
  </si>
  <si>
    <t>PG-DB-020652823</t>
  </si>
  <si>
    <t>PG-DB-020852823</t>
  </si>
  <si>
    <t>PG-DB-021052823</t>
  </si>
  <si>
    <t>PG-DB-021252823</t>
  </si>
  <si>
    <t>PG-DB-023082810</t>
  </si>
  <si>
    <t>PG-DB-023482810</t>
  </si>
  <si>
    <t>PG-EB-000912152</t>
  </si>
  <si>
    <t>PG-EB-001215182</t>
  </si>
  <si>
    <t>PG-EB-001518212</t>
  </si>
  <si>
    <t>PG-EX-002023200</t>
  </si>
  <si>
    <t>PG-EX-002523200</t>
  </si>
  <si>
    <t>PG-EX-003023200</t>
  </si>
  <si>
    <t>PG-EX-003523200</t>
  </si>
  <si>
    <t>PG-FNA-01-19828</t>
  </si>
  <si>
    <t>PG-FNA-01-22828</t>
  </si>
  <si>
    <t>PG-FNA-02-19828</t>
  </si>
  <si>
    <t>PG-FNB-01-19828</t>
  </si>
  <si>
    <t>PG-FNB-01-22828</t>
  </si>
  <si>
    <t>PG-FNB-01-25828</t>
  </si>
  <si>
    <t>PG-FNB-02-19828</t>
  </si>
  <si>
    <t>PG-GF-000323230</t>
  </si>
  <si>
    <t>PG-GF-001323230</t>
  </si>
  <si>
    <t>PG-GF-002318120</t>
  </si>
  <si>
    <t>PG-GF-002318230</t>
  </si>
  <si>
    <t>PG-GF-002323230</t>
  </si>
  <si>
    <t>PG-HC-011128235</t>
  </si>
  <si>
    <t>PG-HC-021128235</t>
  </si>
  <si>
    <t>PG-IN-001904230</t>
  </si>
  <si>
    <t>PG-IN-002204230</t>
  </si>
  <si>
    <t>PG-IN-002205180</t>
  </si>
  <si>
    <t>PG-IN-002205230</t>
  </si>
  <si>
    <t>PG-IN-002504230</t>
  </si>
  <si>
    <t>PG-IN-002505230</t>
  </si>
  <si>
    <t>PG-IP-0060</t>
  </si>
  <si>
    <t>PG-NGW-012545-I</t>
  </si>
  <si>
    <t>PG-NGW-013526-I</t>
  </si>
  <si>
    <t>PG-NGW-013545-I</t>
  </si>
  <si>
    <t>PG-NGW-013545-J</t>
  </si>
  <si>
    <t>PG-PS-000735220</t>
  </si>
  <si>
    <t>PG-PS-001012220</t>
  </si>
  <si>
    <t>PG-PS-031407070</t>
  </si>
  <si>
    <t>PG-PS-031407071</t>
  </si>
  <si>
    <t>PG-PS-031407081</t>
  </si>
  <si>
    <t>PG-PS-031407090</t>
  </si>
  <si>
    <t>PG-PS-031407091</t>
  </si>
  <si>
    <t>PG-PS-031407100</t>
  </si>
  <si>
    <t>PG-PS-031407101</t>
  </si>
  <si>
    <t>PG-PS-031407111</t>
  </si>
  <si>
    <t>PG-PS-031407120</t>
  </si>
  <si>
    <t>PG-PS-031407121</t>
  </si>
  <si>
    <t>PG-PS-031407130</t>
  </si>
  <si>
    <t>PG-PS-031407131</t>
  </si>
  <si>
    <t>PG-PS-031407150</t>
  </si>
  <si>
    <t>PG-PS-031407151</t>
  </si>
  <si>
    <t>PG-PS-031408071</t>
  </si>
  <si>
    <t>PG-PS-031408101</t>
  </si>
  <si>
    <t>PG-PS-031408121</t>
  </si>
  <si>
    <t>PG-PS-031410070</t>
  </si>
  <si>
    <t>PG-PS-031410071</t>
  </si>
  <si>
    <t>PG-PS-031410080</t>
  </si>
  <si>
    <t>PG-PS-031410081</t>
  </si>
  <si>
    <t>PG-PS-031410090</t>
  </si>
  <si>
    <t>PG-PS-031410091</t>
  </si>
  <si>
    <t>PG-PS-031410100</t>
  </si>
  <si>
    <t>PG-PS-031410101</t>
  </si>
  <si>
    <t>PG-PS-031410120</t>
  </si>
  <si>
    <t>PG-PS-031410121</t>
  </si>
  <si>
    <t>PG-PS-031410140</t>
  </si>
  <si>
    <t>PG-PS-031410150</t>
  </si>
  <si>
    <t>PG-PS-031410151</t>
  </si>
  <si>
    <t>PG-PS-032407071</t>
  </si>
  <si>
    <t>PG-PS-032407101</t>
  </si>
  <si>
    <t>PG-PS-032407121</t>
  </si>
  <si>
    <t>PG-PS-032408071</t>
  </si>
  <si>
    <t>PG-PS-032408090</t>
  </si>
  <si>
    <t>PG-PS-032408091</t>
  </si>
  <si>
    <t>PG-PS-032408101</t>
  </si>
  <si>
    <t>PG-PS-032408121</t>
  </si>
  <si>
    <t>PG-PS-032410071</t>
  </si>
  <si>
    <t>PG-PS-032410101</t>
  </si>
  <si>
    <t>PG-PS-032410121</t>
  </si>
  <si>
    <t>PG-PS-033410101</t>
  </si>
  <si>
    <t>PG-PS-033410121</t>
  </si>
  <si>
    <t>PG-PS-033410151</t>
  </si>
  <si>
    <t>PG-PS-034407101</t>
  </si>
  <si>
    <t>PG-PS-034410101</t>
  </si>
  <si>
    <t>PG-PS-035410071</t>
  </si>
  <si>
    <t>PG-PS-035410101</t>
  </si>
  <si>
    <t>PG-PT-001-4</t>
  </si>
  <si>
    <t>PG-RN-003028230</t>
  </si>
  <si>
    <t>RBPDI-07/20</t>
  </si>
  <si>
    <t>RBPDI-08/20</t>
  </si>
  <si>
    <t>RBPDI-10/20</t>
  </si>
  <si>
    <t>RBPDS-3110-09/20</t>
  </si>
  <si>
    <t>RBPDS-3207-07/20</t>
  </si>
  <si>
    <t>RBPDS-3207-09/20</t>
  </si>
  <si>
    <t>RBPDS-3208-05/20</t>
  </si>
  <si>
    <t>RBPDS-3208-07/20</t>
  </si>
  <si>
    <t>RBPDS-3208-09/20</t>
  </si>
  <si>
    <t>RBPDS-3208-10/20</t>
  </si>
  <si>
    <t>RBPDS-3208-11/20</t>
  </si>
  <si>
    <t>RBPDS-3208-13/20</t>
  </si>
  <si>
    <t>RBPDS-3208-15/20</t>
  </si>
  <si>
    <t>RBPDS-3210-05/20</t>
  </si>
  <si>
    <t>RBPDS-3210-07/20</t>
  </si>
  <si>
    <t>RBPDS-3210-09/20</t>
  </si>
  <si>
    <t>RBPDS-3210-10/20</t>
  </si>
  <si>
    <t>RBPDS-3210-11/20</t>
  </si>
  <si>
    <t>RBPDS-3210-12/20</t>
  </si>
  <si>
    <t>RBPDS-3210-13/20</t>
  </si>
  <si>
    <t>RBPDS-3210-15/20</t>
  </si>
  <si>
    <t>RBPDS-3307-07/20</t>
  </si>
  <si>
    <t>RBPDS-3307-09/20</t>
  </si>
  <si>
    <t>RBPDS-3307-11/20</t>
  </si>
  <si>
    <t>RBPDS-3307-15/20</t>
  </si>
  <si>
    <t>RBPDS-3310-07/20</t>
  </si>
  <si>
    <t>RBPDS-3410-05/20</t>
  </si>
  <si>
    <t>RBPDS-3410-07/20</t>
  </si>
  <si>
    <t>RBPDS-3410-09/20</t>
  </si>
  <si>
    <t>RBPDS-3410-15/20</t>
  </si>
  <si>
    <t>RDSP-0225-131</t>
  </si>
  <si>
    <t>RDSP-0520-111</t>
  </si>
  <si>
    <t>RDSP-0520-121</t>
  </si>
  <si>
    <t>RDSP-0520-221</t>
  </si>
  <si>
    <t>RDSP-0525-121</t>
  </si>
  <si>
    <t>RDSP-0525-131</t>
  </si>
  <si>
    <t>RDSP-0525-221</t>
  </si>
  <si>
    <t>RDSP-0530-121</t>
  </si>
  <si>
    <t>ROCC-C-26-165-C</t>
  </si>
  <si>
    <t>ROCC-C-26-230-C</t>
  </si>
  <si>
    <t>ROCC-C-26-235-C</t>
  </si>
  <si>
    <t>ROCC-C-26-235-C-N</t>
  </si>
  <si>
    <t>ROCC-D-26-165-C</t>
  </si>
  <si>
    <t>ROCC-D-26-195-C</t>
  </si>
  <si>
    <t>ROCC-D-26-230-C</t>
  </si>
  <si>
    <t>ROCC-D-26-235-C</t>
  </si>
  <si>
    <t>ROCC-D-26-235-C-N</t>
  </si>
  <si>
    <t>ROCC-F-26-165-C</t>
  </si>
  <si>
    <t>ROCC-F-26-195-C</t>
  </si>
  <si>
    <t>ROCC-F-26-230-C</t>
  </si>
  <si>
    <t>ROCC-F-26-235-C</t>
  </si>
  <si>
    <t>ROCC-F-26-235-C-R</t>
  </si>
  <si>
    <t>ROCC-H-26-235-C-N</t>
  </si>
  <si>
    <t>RSRB-P-9/12/15-20</t>
  </si>
  <si>
    <t>RSRB-T-9/12/15-20</t>
  </si>
  <si>
    <t>RSRB-T-9/12/15-20-B</t>
  </si>
  <si>
    <t>RSRB-T-12/15/18-20</t>
  </si>
  <si>
    <t>RSRB-T-12/15/18-20-B</t>
  </si>
  <si>
    <t>RSRB-T-15/18/21-20</t>
  </si>
  <si>
    <t>RST03-001-08.040</t>
  </si>
  <si>
    <t>RST03-001-08.060</t>
  </si>
  <si>
    <t>RST03-001-08.080</t>
  </si>
  <si>
    <t>RST03-001-08.100</t>
  </si>
  <si>
    <t>RST03-001-10.040</t>
  </si>
  <si>
    <t>RST03-001-10.060</t>
  </si>
  <si>
    <t>RST03-001-10.080</t>
  </si>
  <si>
    <t>RST03-001-10.100</t>
  </si>
  <si>
    <t>RST03-002-08.040</t>
  </si>
  <si>
    <t>RST03-002-08.060</t>
  </si>
  <si>
    <t>RST03-002-08.080</t>
  </si>
  <si>
    <t>RST03-002-08.100</t>
  </si>
  <si>
    <t>RST03-002-10.040</t>
  </si>
  <si>
    <t>RST03-002-10.060</t>
  </si>
  <si>
    <t>RST03-002-10.080</t>
  </si>
  <si>
    <t>RST03-002-10.100</t>
  </si>
  <si>
    <t>RST03-004-08.040</t>
  </si>
  <si>
    <t>RST03-004-08.060</t>
  </si>
  <si>
    <t>RST03-004-08.080</t>
  </si>
  <si>
    <t>RST03-004-08.100</t>
  </si>
  <si>
    <t>RST03-004-10.040</t>
  </si>
  <si>
    <t>RST03-004-10.060</t>
  </si>
  <si>
    <t>RST03-004-10.080</t>
  </si>
  <si>
    <t>RST03-004-10.100</t>
  </si>
  <si>
    <t>RST43-001-10.040</t>
  </si>
  <si>
    <t>RST43-001-10.060</t>
  </si>
  <si>
    <t>RST43-001-10.080</t>
  </si>
  <si>
    <t>RST43-001-10.100</t>
  </si>
  <si>
    <t>RST43-002-10.040</t>
  </si>
  <si>
    <t>RST43-002-10.060</t>
  </si>
  <si>
    <t>RST43-002-10.080</t>
  </si>
  <si>
    <t>RST43-002-10.100</t>
  </si>
  <si>
    <t>RST43-004-10.040</t>
  </si>
  <si>
    <t>RST43-004-10.060</t>
  </si>
  <si>
    <t>RST43-004-10.080</t>
  </si>
  <si>
    <t>RST43-004-10.100</t>
  </si>
  <si>
    <t>SEB111/1570200-P</t>
  </si>
  <si>
    <t>SEB111/2070200-P</t>
  </si>
  <si>
    <t>SEB111/2570200-P</t>
  </si>
  <si>
    <t>SEB111/3070200-P</t>
  </si>
  <si>
    <t>SEB111/3570200-P</t>
  </si>
  <si>
    <t>SML10</t>
  </si>
  <si>
    <t>SRB-T-9/12-20</t>
  </si>
  <si>
    <t>SRB-T-9/12/15-20-B</t>
  </si>
  <si>
    <t>SRB-T-12/15-20</t>
  </si>
  <si>
    <t>SRB-T-12/15/18-20-B</t>
  </si>
  <si>
    <t>SRB-T-15/18/21-20-B</t>
  </si>
  <si>
    <t>ST01-102.20.060</t>
  </si>
  <si>
    <t>ST01-222-20.160</t>
  </si>
  <si>
    <t>ST01-232-24.120</t>
  </si>
  <si>
    <t>ST01-234-18.120</t>
  </si>
  <si>
    <t>ST02-334-08.020</t>
  </si>
  <si>
    <t>ST02-334-08.030</t>
  </si>
  <si>
    <t>ST02-334-10.020</t>
  </si>
  <si>
    <t>ST02-334-10.030</t>
  </si>
  <si>
    <t>ST02-334-12.020</t>
  </si>
  <si>
    <t>ST02-334-12.030</t>
  </si>
  <si>
    <t>ST02-334-16.050</t>
  </si>
  <si>
    <t>ST02-334-16.060</t>
  </si>
  <si>
    <t>ST02-334-16.070</t>
  </si>
  <si>
    <t>ST02-334-18.050</t>
  </si>
  <si>
    <t>ST02-334-18.070</t>
  </si>
  <si>
    <t>ST02-334-20.050</t>
  </si>
  <si>
    <t>ST02-334-20.070</t>
  </si>
  <si>
    <t>ST02-962-16.040</t>
  </si>
  <si>
    <t>ST02-962-16.050</t>
  </si>
  <si>
    <t>ST02-962-16.070</t>
  </si>
  <si>
    <t>ST02-962-18.020</t>
  </si>
  <si>
    <t>ST02-962-18.040</t>
  </si>
  <si>
    <t>ST02-962-18.050</t>
  </si>
  <si>
    <t>ST02-962-18.070</t>
  </si>
  <si>
    <t>ST02-962-18.080</t>
  </si>
  <si>
    <t>ST02-962-20.020</t>
  </si>
  <si>
    <t>ST02-962-20.040</t>
  </si>
  <si>
    <t>ST02-962-20.050</t>
  </si>
  <si>
    <t>ST02-962-20.070</t>
  </si>
  <si>
    <t>ST02-962-20.080</t>
  </si>
  <si>
    <t>ST02-962-22.020</t>
  </si>
  <si>
    <t>ST02-962-22.040</t>
  </si>
  <si>
    <t>ST02-962-22.080</t>
  </si>
  <si>
    <t>ST02-963-16.040</t>
  </si>
  <si>
    <t>ST02-963-20.020</t>
  </si>
  <si>
    <t>ST02-963-20.040</t>
  </si>
  <si>
    <t>ST02-963-20.050</t>
  </si>
  <si>
    <t>ST02-964-12.030</t>
  </si>
  <si>
    <t>ST02-974-16.040</t>
  </si>
  <si>
    <t>ST02-974-18.040</t>
  </si>
  <si>
    <t>ST03-001-10.040</t>
  </si>
  <si>
    <t>ST03-001-10.060</t>
  </si>
  <si>
    <t>ST03-004-10.040</t>
  </si>
  <si>
    <t>ST03-101.10.060</t>
  </si>
  <si>
    <t>ST03-101.10.080</t>
  </si>
  <si>
    <t>ST03-103.10.060</t>
  </si>
  <si>
    <t>ST03-103.10.080</t>
  </si>
  <si>
    <t>ST05-103.08.020</t>
  </si>
  <si>
    <t>ST05-103.10.020</t>
  </si>
  <si>
    <t>ST05-103.10.030</t>
  </si>
  <si>
    <t>ST05-103.12.030</t>
  </si>
  <si>
    <t>ST05-103.12.040</t>
  </si>
  <si>
    <t>ST05-103.14.040</t>
  </si>
  <si>
    <t>ST05-103.20.060</t>
  </si>
  <si>
    <t>ST05-103.20.080</t>
  </si>
  <si>
    <t>ST05-143.16.040</t>
  </si>
  <si>
    <t>ST05-143.20.050</t>
  </si>
  <si>
    <t>ST05-152.16.050</t>
  </si>
  <si>
    <t>ST05-152.16.070</t>
  </si>
  <si>
    <t>ST05-152.18.050</t>
  </si>
  <si>
    <t>ST05-152.18.070</t>
  </si>
  <si>
    <t>ST05-152.20.050</t>
  </si>
  <si>
    <t>ST05-152.20.070</t>
  </si>
  <si>
    <t>ST64-332-26.100</t>
  </si>
  <si>
    <t>ST74-331-20.080</t>
  </si>
  <si>
    <t>ST74-331-22.090</t>
  </si>
  <si>
    <t>STA00001</t>
  </si>
  <si>
    <t>STA00002</t>
  </si>
  <si>
    <t>SVB11001</t>
  </si>
  <si>
    <t>SVB22001</t>
  </si>
  <si>
    <t>SVB33001</t>
  </si>
  <si>
    <t>WP-18/1600</t>
  </si>
  <si>
    <t>WP-18/1800</t>
  </si>
  <si>
    <t>WP-18/2200</t>
  </si>
  <si>
    <t>WP-18/2500</t>
  </si>
  <si>
    <t>WP-23/1600</t>
  </si>
  <si>
    <t>WP-23/1800</t>
  </si>
  <si>
    <t>WP-23/2200</t>
  </si>
  <si>
    <t>WP-23/2500</t>
  </si>
  <si>
    <t>2023 Sales</t>
  </si>
  <si>
    <t>2024 Sales</t>
  </si>
  <si>
    <t>2025 Sales</t>
  </si>
  <si>
    <t>$ 37.200,00</t>
  </si>
  <si>
    <t>$ 25.000,00</t>
  </si>
  <si>
    <t>$ 0,00</t>
  </si>
  <si>
    <t>$ 62.000,00</t>
  </si>
  <si>
    <t>$ 3.525,00</t>
  </si>
  <si>
    <t>$ 10.000,00</t>
  </si>
  <si>
    <t>$ 9.000,00</t>
  </si>
  <si>
    <t>$ 24.000,00</t>
  </si>
  <si>
    <t>$ 13.000,00</t>
  </si>
  <si>
    <t>$ 3.000,00</t>
  </si>
  <si>
    <t>$ 192,00</t>
  </si>
  <si>
    <t>$ 360,00</t>
  </si>
  <si>
    <t>$ 384,00</t>
  </si>
  <si>
    <t>$ 432,00</t>
  </si>
  <si>
    <t>$ 450,00</t>
  </si>
  <si>
    <t>$ 468,00</t>
  </si>
  <si>
    <t>$ 675,00</t>
  </si>
  <si>
    <t>$ 720,00</t>
  </si>
  <si>
    <t>$ 792,00</t>
  </si>
  <si>
    <t>$ 1.000,00</t>
  </si>
  <si>
    <t>$ 1.800,00</t>
  </si>
  <si>
    <t>$ 864,00</t>
  </si>
  <si>
    <t>$ 900,00</t>
  </si>
  <si>
    <t>$ 1.276,00</t>
  </si>
  <si>
    <t>$ 1.280,00</t>
  </si>
  <si>
    <t>$ 1.296,00</t>
  </si>
  <si>
    <t>$ 1.300,00</t>
  </si>
  <si>
    <t>$ 1.332,00</t>
  </si>
  <si>
    <t>$ 1.344,00</t>
  </si>
  <si>
    <t>$ 1.500,00</t>
  </si>
  <si>
    <t>$ 1.872,00</t>
  </si>
  <si>
    <t>$ 1.920,00</t>
  </si>
  <si>
    <t>$ 2.100,00</t>
  </si>
  <si>
    <t>$ 2.160,00</t>
  </si>
  <si>
    <t>$ 2.225,00</t>
  </si>
  <si>
    <t>$ 2.232,00</t>
  </si>
  <si>
    <t>$ 2.304,00</t>
  </si>
  <si>
    <t>$ 2.450,00</t>
  </si>
  <si>
    <t>$ 2.520,00</t>
  </si>
  <si>
    <t>$ 2.592,00</t>
  </si>
  <si>
    <t>$ 2.664,00</t>
  </si>
  <si>
    <t>$ 2.800,00</t>
  </si>
  <si>
    <t>$ 3.132,00</t>
  </si>
  <si>
    <t>$ 3.200,00</t>
  </si>
  <si>
    <t>$ 3.600,00</t>
  </si>
  <si>
    <t>$ 3.780,00</t>
  </si>
  <si>
    <t>$ 4.165,00</t>
  </si>
  <si>
    <t>$ 4.200,00</t>
  </si>
  <si>
    <t>$ 4.450,00</t>
  </si>
  <si>
    <t>$ 4.500,00</t>
  </si>
  <si>
    <t>$ 4.550,00</t>
  </si>
  <si>
    <t>$ 4.760,00</t>
  </si>
  <si>
    <t>$ 5.120,00</t>
  </si>
  <si>
    <t>$ 5.145,00</t>
  </si>
  <si>
    <t>$ 5.250,00</t>
  </si>
  <si>
    <t>$ 5.400,00</t>
  </si>
  <si>
    <t>$ 5.440,00</t>
  </si>
  <si>
    <t>$ 6.300,00</t>
  </si>
  <si>
    <t>$ 6.675,00</t>
  </si>
  <si>
    <t>$ 6.750,00</t>
  </si>
  <si>
    <t>$ 7.140,00</t>
  </si>
  <si>
    <t>$ 7.680,00</t>
  </si>
  <si>
    <t>$ 8.550,00</t>
  </si>
  <si>
    <t>$ 8.900,00</t>
  </si>
  <si>
    <t>$ 9.520,00</t>
  </si>
  <si>
    <t>$ 9.900,00</t>
  </si>
  <si>
    <t>$ 10.350,00</t>
  </si>
  <si>
    <t>$ 10.545,00</t>
  </si>
  <si>
    <t>$ 10.800,00</t>
  </si>
  <si>
    <t>$ 11.062,00</t>
  </si>
  <si>
    <t>$ 11.125,00</t>
  </si>
  <si>
    <t>$ 11.340,00</t>
  </si>
  <si>
    <t>$ 12.152,00</t>
  </si>
  <si>
    <t>$ 13.350,00</t>
  </si>
  <si>
    <t>$ 13.650,00</t>
  </si>
  <si>
    <t>$ 14.355,00</t>
  </si>
  <si>
    <t>$ 14.400,00</t>
  </si>
  <si>
    <t>$ 15.575,00</t>
  </si>
  <si>
    <t>$ 16.000,00</t>
  </si>
  <si>
    <t>$ 16.704,00</t>
  </si>
  <si>
    <t>$ 17.424,00</t>
  </si>
  <si>
    <t>$ 17.800,00</t>
  </si>
  <si>
    <t>$ 18.000,00</t>
  </si>
  <si>
    <t>$ 19.000,00</t>
  </si>
  <si>
    <t>$ 20.025,00</t>
  </si>
  <si>
    <t>$ 23.760,00</t>
  </si>
  <si>
    <t>$ 26.250,00</t>
  </si>
  <si>
    <t>$ 27.060,00</t>
  </si>
  <si>
    <t>$ 28.800,00</t>
  </si>
  <si>
    <t>$ 29.400,00</t>
  </si>
  <si>
    <t>$ 80.000,00</t>
  </si>
  <si>
    <t>$ 33.000,00</t>
  </si>
  <si>
    <t>$ 36.800,00</t>
  </si>
  <si>
    <t>$ 38.280,00</t>
  </si>
  <si>
    <t>$ 39.600,00</t>
  </si>
  <si>
    <t>$ 41.600,00</t>
  </si>
  <si>
    <t>$ 46.000,00</t>
  </si>
  <si>
    <t>$ 53.400,00</t>
  </si>
  <si>
    <t>$ 59.040,00</t>
  </si>
  <si>
    <t>$ 67.320,00</t>
  </si>
  <si>
    <t>$ 69.000,00</t>
  </si>
  <si>
    <t>$ 74.448,00</t>
  </si>
  <si>
    <t>$ 109.620,00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</si>
</sst>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[$$-409]#,##0.00"/>
  </numFmts>
  <fonts count="25">
    <font>
      <sz val="10"/>
      <color rgb="FF000000"/>
      <name val="Arial"/>
    </font>
    <font>
      <b/>
      <sz val="10"/>
      <color theme="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8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0"/>
      <name val="Century Gothic"/>
      <family val="2"/>
    </font>
    <font>
      <sz val="12"/>
      <color rgb="FF000000"/>
      <name val="Century Gothic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sz val="14"/>
      <color rgb="FF000000"/>
      <name val="Arial"/>
      <family val="2"/>
    </font>
    <font>
      <b/>
      <sz val="11"/>
      <color theme="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trike/>
      <sz val="10"/>
      <color rgb="FF000000"/>
      <name val="Arial"/>
      <family val="2"/>
    </font>
    <font>
      <sz val="10"/>
      <color theme="1"/>
      <name val="Century Gothic"/>
      <family val="2"/>
    </font>
    <font>
      <b/>
      <sz val="12"/>
      <color rgb="FFFF0000"/>
      <name val="Century Gothic"/>
      <family val="2"/>
    </font>
    <font>
      <b/>
      <sz val="10"/>
      <color theme="1"/>
      <name val="Century Gothic"/>
      <family val="2"/>
    </font>
    <font>
      <sz val="9"/>
      <color rgb="FF1F2328"/>
      <name val="Consolas"/>
      <family val="3"/>
    </font>
    <font>
      <sz val="10"/>
      <color rgb="FF000000"/>
      <name val="Arial"/>
    </font>
    <font>
      <b/>
      <i/>
      <sz val="10"/>
      <color rgb="FF000000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3">
    <xf numFmtId="0" fontId="0" fillId="0" borderId="0"/>
    <xf numFmtId="164" fontId="15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98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5" fillId="0" borderId="6" xfId="0" applyFont="1" applyBorder="1"/>
    <xf numFmtId="0" fontId="11" fillId="0" borderId="0" xfId="0" applyFont="1" applyAlignment="1">
      <alignment horizontal="left"/>
    </xf>
    <xf numFmtId="0" fontId="6" fillId="4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5" fillId="0" borderId="0" xfId="0" applyFont="1"/>
    <xf numFmtId="3" fontId="5" fillId="6" borderId="6" xfId="0" applyNumberFormat="1" applyFont="1" applyFill="1" applyBorder="1" applyAlignment="1">
      <alignment horizontal="center" vertical="center"/>
    </xf>
    <xf numFmtId="3" fontId="5" fillId="5" borderId="6" xfId="0" applyNumberFormat="1" applyFont="1" applyFill="1" applyBorder="1" applyAlignment="1">
      <alignment horizontal="center" vertical="center"/>
    </xf>
    <xf numFmtId="3" fontId="6" fillId="5" borderId="6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7" xfId="0" applyFont="1" applyBorder="1"/>
    <xf numFmtId="3" fontId="11" fillId="8" borderId="6" xfId="0" applyNumberFormat="1" applyFont="1" applyFill="1" applyBorder="1" applyAlignment="1">
      <alignment horizontal="center"/>
    </xf>
    <xf numFmtId="0" fontId="13" fillId="8" borderId="6" xfId="0" applyFont="1" applyFill="1" applyBorder="1"/>
    <xf numFmtId="3" fontId="11" fillId="8" borderId="6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64" fontId="0" fillId="0" borderId="0" xfId="1" applyFont="1" applyAlignment="1">
      <alignment horizontal="center"/>
    </xf>
    <xf numFmtId="164" fontId="9" fillId="2" borderId="5" xfId="1" applyFont="1" applyFill="1" applyBorder="1" applyAlignment="1">
      <alignment horizontal="center"/>
    </xf>
    <xf numFmtId="0" fontId="0" fillId="0" borderId="8" xfId="0" applyBorder="1"/>
    <xf numFmtId="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4" borderId="8" xfId="1" applyFont="1" applyFill="1" applyBorder="1" applyAlignment="1">
      <alignment horizontal="center"/>
    </xf>
    <xf numFmtId="164" fontId="0" fillId="9" borderId="8" xfId="1" applyFont="1" applyFill="1" applyBorder="1" applyAlignment="1">
      <alignment horizontal="center"/>
    </xf>
    <xf numFmtId="164" fontId="0" fillId="10" borderId="8" xfId="1" applyFont="1" applyFill="1" applyBorder="1" applyAlignment="1">
      <alignment horizontal="center"/>
    </xf>
    <xf numFmtId="164" fontId="0" fillId="6" borderId="8" xfId="1" applyFont="1" applyFill="1" applyBorder="1" applyAlignment="1">
      <alignment horizontal="center"/>
    </xf>
    <xf numFmtId="164" fontId="0" fillId="5" borderId="8" xfId="0" applyNumberFormat="1" applyFill="1" applyBorder="1"/>
    <xf numFmtId="0" fontId="10" fillId="7" borderId="8" xfId="0" applyFont="1" applyFill="1" applyBorder="1"/>
    <xf numFmtId="0" fontId="10" fillId="7" borderId="8" xfId="0" applyFont="1" applyFill="1" applyBorder="1" applyAlignment="1">
      <alignment horizontal="center"/>
    </xf>
    <xf numFmtId="164" fontId="10" fillId="7" borderId="8" xfId="1" applyFont="1" applyFill="1" applyBorder="1" applyAlignment="1">
      <alignment horizontal="center"/>
    </xf>
    <xf numFmtId="0" fontId="8" fillId="7" borderId="8" xfId="0" applyFont="1" applyFill="1" applyBorder="1"/>
    <xf numFmtId="0" fontId="0" fillId="7" borderId="8" xfId="0" applyFill="1" applyBorder="1"/>
    <xf numFmtId="1" fontId="0" fillId="7" borderId="8" xfId="0" applyNumberForma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164" fontId="0" fillId="7" borderId="8" xfId="1" applyFont="1" applyFill="1" applyBorder="1" applyAlignment="1">
      <alignment horizontal="center"/>
    </xf>
    <xf numFmtId="164" fontId="0" fillId="7" borderId="8" xfId="0" applyNumberFormat="1" applyFill="1" applyBorder="1"/>
    <xf numFmtId="0" fontId="10" fillId="7" borderId="10" xfId="0" applyFont="1" applyFill="1" applyBorder="1"/>
    <xf numFmtId="0" fontId="0" fillId="0" borderId="10" xfId="0" applyBorder="1"/>
    <xf numFmtId="0" fontId="0" fillId="7" borderId="10" xfId="0" applyFill="1" applyBorder="1"/>
    <xf numFmtId="0" fontId="7" fillId="0" borderId="0" xfId="0" applyFont="1"/>
    <xf numFmtId="0" fontId="12" fillId="0" borderId="0" xfId="0" applyFont="1"/>
    <xf numFmtId="164" fontId="0" fillId="0" borderId="0" xfId="1" applyFont="1" applyFill="1" applyAlignment="1">
      <alignment horizontal="center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4" borderId="9" xfId="0" applyFont="1" applyFill="1" applyBorder="1"/>
    <xf numFmtId="0" fontId="8" fillId="7" borderId="9" xfId="0" applyFont="1" applyFill="1" applyBorder="1"/>
    <xf numFmtId="0" fontId="8" fillId="0" borderId="9" xfId="0" applyFont="1" applyBorder="1"/>
    <xf numFmtId="0" fontId="8" fillId="0" borderId="9" xfId="0" applyFont="1" applyBorder="1" applyAlignment="1">
      <alignment wrapText="1"/>
    </xf>
    <xf numFmtId="0" fontId="8" fillId="7" borderId="9" xfId="0" applyFont="1" applyFill="1" applyBorder="1" applyAlignment="1">
      <alignment wrapText="1"/>
    </xf>
    <xf numFmtId="0" fontId="7" fillId="8" borderId="9" xfId="0" applyFont="1" applyFill="1" applyBorder="1"/>
    <xf numFmtId="0" fontId="7" fillId="0" borderId="8" xfId="0" applyFont="1" applyBorder="1"/>
    <xf numFmtId="0" fontId="7" fillId="3" borderId="9" xfId="0" applyFont="1" applyFill="1" applyBorder="1"/>
    <xf numFmtId="0" fontId="15" fillId="0" borderId="0" xfId="0" applyFont="1"/>
    <xf numFmtId="9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0" xfId="0" quotePrefix="1" applyFont="1"/>
    <xf numFmtId="10" fontId="16" fillId="0" borderId="0" xfId="0" applyNumberFormat="1" applyFont="1"/>
    <xf numFmtId="3" fontId="16" fillId="0" borderId="0" xfId="0" applyNumberFormat="1" applyFont="1"/>
    <xf numFmtId="0" fontId="16" fillId="0" borderId="0" xfId="0" applyFont="1" applyAlignment="1">
      <alignment wrapText="1"/>
    </xf>
    <xf numFmtId="0" fontId="17" fillId="0" borderId="0" xfId="0" applyFont="1"/>
    <xf numFmtId="0" fontId="17" fillId="0" borderId="0" xfId="0" applyFont="1" applyAlignment="1">
      <alignment horizontal="right"/>
    </xf>
    <xf numFmtId="0" fontId="17" fillId="0" borderId="0" xfId="0" applyFont="1" applyAlignment="1">
      <alignment wrapText="1"/>
    </xf>
    <xf numFmtId="0" fontId="9" fillId="2" borderId="5" xfId="0" applyFont="1" applyFill="1" applyBorder="1" applyAlignment="1">
      <alignment horizontal="center"/>
    </xf>
    <xf numFmtId="165" fontId="16" fillId="0" borderId="0" xfId="0" applyNumberFormat="1" applyFont="1" applyAlignment="1">
      <alignment horizontal="right"/>
    </xf>
    <xf numFmtId="0" fontId="18" fillId="7" borderId="10" xfId="0" applyFont="1" applyFill="1" applyBorder="1"/>
    <xf numFmtId="1" fontId="18" fillId="7" borderId="8" xfId="0" applyNumberFormat="1" applyFont="1" applyFill="1" applyBorder="1" applyAlignment="1">
      <alignment horizontal="center"/>
    </xf>
    <xf numFmtId="0" fontId="18" fillId="7" borderId="8" xfId="0" applyFont="1" applyFill="1" applyBorder="1" applyAlignment="1">
      <alignment horizontal="center"/>
    </xf>
    <xf numFmtId="0" fontId="18" fillId="0" borderId="0" xfId="0" applyFont="1"/>
    <xf numFmtId="0" fontId="15" fillId="7" borderId="8" xfId="0" applyFont="1" applyFill="1" applyBorder="1"/>
    <xf numFmtId="0" fontId="15" fillId="0" borderId="8" xfId="0" applyFont="1" applyBorder="1"/>
    <xf numFmtId="1" fontId="15" fillId="7" borderId="8" xfId="0" applyNumberFormat="1" applyFont="1" applyFill="1" applyBorder="1" applyAlignment="1">
      <alignment horizontal="center"/>
    </xf>
    <xf numFmtId="164" fontId="15" fillId="7" borderId="8" xfId="1" applyFont="1" applyFill="1" applyBorder="1" applyAlignment="1">
      <alignment horizontal="center"/>
    </xf>
    <xf numFmtId="0" fontId="15" fillId="7" borderId="8" xfId="0" applyFont="1" applyFill="1" applyBorder="1" applyAlignment="1">
      <alignment horizontal="center"/>
    </xf>
    <xf numFmtId="164" fontId="15" fillId="7" borderId="8" xfId="0" applyNumberFormat="1" applyFont="1" applyFill="1" applyBorder="1"/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0" fillId="0" borderId="0" xfId="0" applyNumberFormat="1"/>
    <xf numFmtId="0" fontId="22" fillId="11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2" borderId="4" xfId="0" applyFont="1" applyFill="1" applyBorder="1"/>
    <xf numFmtId="9" fontId="5" fillId="0" borderId="0" xfId="2" applyFont="1" applyAlignment="1">
      <alignment horizontal="center"/>
    </xf>
    <xf numFmtId="9" fontId="5" fillId="0" borderId="0" xfId="2" applyFont="1"/>
    <xf numFmtId="9" fontId="5" fillId="0" borderId="7" xfId="2" applyFont="1" applyBorder="1"/>
    <xf numFmtId="0" fontId="24" fillId="0" borderId="0" xfId="0" applyFont="1" applyAlignment="1">
      <alignment horizontal="center" vertical="center"/>
    </xf>
    <xf numFmtId="0" fontId="15" fillId="0" borderId="11" xfId="0" applyFont="1" applyBorder="1"/>
    <xf numFmtId="0" fontId="14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9">
    <dxf>
      <font>
        <strike val="0"/>
        <outline val="0"/>
        <shadow val="0"/>
        <u val="none"/>
        <vertAlign val="baseline"/>
        <sz val="10"/>
        <name val="Century Gothic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none"/>
      </font>
      <fill>
        <patternFill patternType="solid">
          <fgColor indexed="64"/>
          <bgColor theme="3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Medium4"/>
  <colors>
    <mruColors>
      <color rgb="FF99CCFF"/>
      <color rgb="FFCCECFF"/>
      <color rgb="FFB2B2B2"/>
      <color rgb="FF33475B"/>
      <color rgb="FF33457B"/>
      <color rgb="FFF8A9AD"/>
      <color rgb="FFB4BBE8"/>
      <color rgb="FFFAE0B5"/>
      <color rgb="FF00BDA5"/>
      <color rgb="FFF5C2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 MEDICAL Purchases from MT (blue) vs Sell Out (red) 2024 and 2025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'Purchases vs Sell Out'!$B$30:$M$30</c:f>
              <c:strCache>
                <c:ptCount val="1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  <c:pt idx="8">
                  <c:v>Q1</c:v>
                </c:pt>
                <c:pt idx="9">
                  <c:v>Q2</c:v>
                </c:pt>
                <c:pt idx="10">
                  <c:v>Q3</c:v>
                </c:pt>
                <c:pt idx="11">
                  <c:v>Q4</c:v>
                </c:pt>
              </c:strCache>
            </c:strRef>
          </c:cat>
          <c:val>
            <c:numRef>
              <c:f>'Purchases vs Sell Out'!$B$31:$M$31</c:f>
              <c:numCache>
                <c:formatCode>#,##0</c:formatCode>
                <c:ptCount val="12"/>
                <c:pt idx="0">
                  <c:v>1600</c:v>
                </c:pt>
                <c:pt idx="1">
                  <c:v>1000</c:v>
                </c:pt>
                <c:pt idx="2">
                  <c:v>0</c:v>
                </c:pt>
                <c:pt idx="3">
                  <c:v>79170</c:v>
                </c:pt>
                <c:pt idx="4">
                  <c:v>0</c:v>
                </c:pt>
                <c:pt idx="5">
                  <c:v>23048</c:v>
                </c:pt>
                <c:pt idx="6">
                  <c:v>28134</c:v>
                </c:pt>
                <c:pt idx="7">
                  <c:v>21750</c:v>
                </c:pt>
                <c:pt idx="8">
                  <c:v>47100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9-4E4D-853C-6C8A442C98E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'Purchases vs Sell Out'!$B$30:$M$30</c:f>
              <c:strCache>
                <c:ptCount val="1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  <c:pt idx="8">
                  <c:v>Q1</c:v>
                </c:pt>
                <c:pt idx="9">
                  <c:v>Q2</c:v>
                </c:pt>
                <c:pt idx="10">
                  <c:v>Q3</c:v>
                </c:pt>
                <c:pt idx="11">
                  <c:v>Q4</c:v>
                </c:pt>
              </c:strCache>
            </c:strRef>
          </c:cat>
          <c:val>
            <c:numRef>
              <c:f>'Purchases vs Sell Out'!$B$32:$M$32</c:f>
              <c:numCache>
                <c:formatCode>#,##0</c:formatCode>
                <c:ptCount val="12"/>
                <c:pt idx="0">
                  <c:v>213</c:v>
                </c:pt>
                <c:pt idx="1">
                  <c:v>361</c:v>
                </c:pt>
                <c:pt idx="2">
                  <c:v>450</c:v>
                </c:pt>
                <c:pt idx="3">
                  <c:v>228</c:v>
                </c:pt>
                <c:pt idx="4">
                  <c:v>10935</c:v>
                </c:pt>
                <c:pt idx="5">
                  <c:v>13707</c:v>
                </c:pt>
                <c:pt idx="6">
                  <c:v>24195</c:v>
                </c:pt>
                <c:pt idx="7">
                  <c:v>22719</c:v>
                </c:pt>
                <c:pt idx="8">
                  <c:v>32850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F9-4E4D-853C-6C8A442C9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078440"/>
        <c:axId val="380081968"/>
      </c:lineChart>
      <c:catAx>
        <c:axId val="380078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0081968"/>
        <c:crosses val="autoZero"/>
        <c:auto val="1"/>
        <c:lblAlgn val="ctr"/>
        <c:lblOffset val="100"/>
        <c:noMultiLvlLbl val="0"/>
      </c:catAx>
      <c:valAx>
        <c:axId val="38008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0078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91927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9565411A-E3E2-2C25-D9BB-6C8B4DC909E0}"/>
            </a:ext>
          </a:extLst>
        </xdr:cNvPr>
        <xdr:cNvSpPr>
          <a:spLocks noChangeAspect="1" noChangeArrowheads="1"/>
        </xdr:cNvSpPr>
      </xdr:nvSpPr>
      <xdr:spPr bwMode="auto">
        <a:xfrm>
          <a:off x="4427220" y="35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474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9E651A3-27CB-46CD-8E35-890A27B8089C}"/>
            </a:ext>
          </a:extLst>
        </xdr:cNvPr>
        <xdr:cNvSpPr>
          <a:spLocks noChangeAspect="1" noChangeArrowheads="1"/>
        </xdr:cNvSpPr>
      </xdr:nvSpPr>
      <xdr:spPr bwMode="auto">
        <a:xfrm>
          <a:off x="3345493" y="2917521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474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86D60727-0096-4209-8E85-66497D440D8D}"/>
            </a:ext>
          </a:extLst>
        </xdr:cNvPr>
        <xdr:cNvSpPr>
          <a:spLocks noChangeAspect="1" noChangeArrowheads="1"/>
        </xdr:cNvSpPr>
      </xdr:nvSpPr>
      <xdr:spPr bwMode="auto">
        <a:xfrm>
          <a:off x="3345493" y="2917521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474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E7CB5A57-EA67-4B4C-AFB9-43DF0714D9E0}"/>
            </a:ext>
          </a:extLst>
        </xdr:cNvPr>
        <xdr:cNvSpPr>
          <a:spLocks noChangeAspect="1" noChangeArrowheads="1"/>
        </xdr:cNvSpPr>
      </xdr:nvSpPr>
      <xdr:spPr bwMode="auto">
        <a:xfrm>
          <a:off x="3345493" y="3084534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474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4E91322D-D458-4F26-B27A-CB9F5A237298}"/>
            </a:ext>
          </a:extLst>
        </xdr:cNvPr>
        <xdr:cNvSpPr>
          <a:spLocks noChangeAspect="1" noChangeArrowheads="1"/>
        </xdr:cNvSpPr>
      </xdr:nvSpPr>
      <xdr:spPr bwMode="auto">
        <a:xfrm>
          <a:off x="3345493" y="3084534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474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680437D2-CDF7-4CD5-895C-9E3A08491CD9}"/>
            </a:ext>
          </a:extLst>
        </xdr:cNvPr>
        <xdr:cNvSpPr>
          <a:spLocks noChangeAspect="1" noChangeArrowheads="1"/>
        </xdr:cNvSpPr>
      </xdr:nvSpPr>
      <xdr:spPr bwMode="auto">
        <a:xfrm>
          <a:off x="3345493" y="3084534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5474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7E9992B8-6CF4-46C9-899F-0AB837AA0C69}"/>
            </a:ext>
          </a:extLst>
        </xdr:cNvPr>
        <xdr:cNvSpPr>
          <a:spLocks noChangeAspect="1" noChangeArrowheads="1"/>
        </xdr:cNvSpPr>
      </xdr:nvSpPr>
      <xdr:spPr bwMode="auto">
        <a:xfrm>
          <a:off x="3345493" y="3251548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295474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D4D7618F-17C1-4F79-A749-BF7CD5A99C4E}"/>
            </a:ext>
          </a:extLst>
        </xdr:cNvPr>
        <xdr:cNvSpPr>
          <a:spLocks noChangeAspect="1" noChangeArrowheads="1"/>
        </xdr:cNvSpPr>
      </xdr:nvSpPr>
      <xdr:spPr bwMode="auto">
        <a:xfrm>
          <a:off x="3345493" y="3700397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99548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75187ECD-93B7-464D-8A3D-595F8E9DB997}"/>
            </a:ext>
          </a:extLst>
        </xdr:cNvPr>
        <xdr:cNvSpPr>
          <a:spLocks noChangeAspect="1" noChangeArrowheads="1"/>
        </xdr:cNvSpPr>
      </xdr:nvSpPr>
      <xdr:spPr bwMode="auto">
        <a:xfrm>
          <a:off x="3352800" y="3482340"/>
          <a:ext cx="304800" cy="293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91928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5C25C5C1-9D1E-47F9-83F4-CD794A036FE1}"/>
            </a:ext>
          </a:extLst>
        </xdr:cNvPr>
        <xdr:cNvSpPr>
          <a:spLocks noChangeAspect="1" noChangeArrowheads="1"/>
        </xdr:cNvSpPr>
      </xdr:nvSpPr>
      <xdr:spPr bwMode="auto">
        <a:xfrm>
          <a:off x="3352800" y="3482340"/>
          <a:ext cx="304800" cy="293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91927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E677AF37-3F9D-4A06-8BDC-6799CB8AEF5E}"/>
            </a:ext>
            <a:ext uri="{147F2762-F138-4A5C-976F-8EAC2B608ADB}">
              <a16:predDERef xmlns:a16="http://schemas.microsoft.com/office/drawing/2014/main" pred="{A9C778E8-FF95-4E7D-9834-E23047BD6CD9}"/>
            </a:ext>
          </a:extLst>
        </xdr:cNvPr>
        <xdr:cNvSpPr>
          <a:spLocks noChangeAspect="1" noChangeArrowheads="1"/>
        </xdr:cNvSpPr>
      </xdr:nvSpPr>
      <xdr:spPr bwMode="auto">
        <a:xfrm>
          <a:off x="3676650" y="3686175"/>
          <a:ext cx="304800" cy="291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474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36A971C3-B634-43CC-AF71-654DBD149451}"/>
            </a:ext>
            <a:ext uri="{147F2762-F138-4A5C-976F-8EAC2B608ADB}">
              <a16:predDERef xmlns:a16="http://schemas.microsoft.com/office/drawing/2014/main" pred="{E677AF37-3F9D-4A06-8BDC-6799CB8AEF5E}"/>
            </a:ext>
          </a:extLst>
        </xdr:cNvPr>
        <xdr:cNvSpPr>
          <a:spLocks noChangeAspect="1" noChangeArrowheads="1"/>
        </xdr:cNvSpPr>
      </xdr:nvSpPr>
      <xdr:spPr bwMode="auto">
        <a:xfrm>
          <a:off x="3676650" y="3886200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474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A7270CB0-34FE-40E8-B8C6-A2C0A238C415}"/>
            </a:ext>
            <a:ext uri="{147F2762-F138-4A5C-976F-8EAC2B608ADB}">
              <a16:predDERef xmlns:a16="http://schemas.microsoft.com/office/drawing/2014/main" pred="{36A971C3-B634-43CC-AF71-654DBD149451}"/>
            </a:ext>
          </a:extLst>
        </xdr:cNvPr>
        <xdr:cNvSpPr>
          <a:spLocks noChangeAspect="1" noChangeArrowheads="1"/>
        </xdr:cNvSpPr>
      </xdr:nvSpPr>
      <xdr:spPr bwMode="auto">
        <a:xfrm>
          <a:off x="3676650" y="3886200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474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332A8569-F15B-4A59-8531-20134EF921EC}"/>
            </a:ext>
            <a:ext uri="{147F2762-F138-4A5C-976F-8EAC2B608ADB}">
              <a16:predDERef xmlns:a16="http://schemas.microsoft.com/office/drawing/2014/main" pred="{A7270CB0-34FE-40E8-B8C6-A2C0A238C415}"/>
            </a:ext>
          </a:extLst>
        </xdr:cNvPr>
        <xdr:cNvSpPr>
          <a:spLocks noChangeAspect="1" noChangeArrowheads="1"/>
        </xdr:cNvSpPr>
      </xdr:nvSpPr>
      <xdr:spPr bwMode="auto">
        <a:xfrm>
          <a:off x="3676650" y="4086225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474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AE91FB9-D895-4ACA-B112-C0AC8C5DC7BA}"/>
            </a:ext>
            <a:ext uri="{147F2762-F138-4A5C-976F-8EAC2B608ADB}">
              <a16:predDERef xmlns:a16="http://schemas.microsoft.com/office/drawing/2014/main" pred="{332A8569-F15B-4A59-8531-20134EF921EC}"/>
            </a:ext>
          </a:extLst>
        </xdr:cNvPr>
        <xdr:cNvSpPr>
          <a:spLocks noChangeAspect="1" noChangeArrowheads="1"/>
        </xdr:cNvSpPr>
      </xdr:nvSpPr>
      <xdr:spPr bwMode="auto">
        <a:xfrm>
          <a:off x="3676650" y="4086225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474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3D2DD410-8194-4977-9584-D3CFEA3AE17E}"/>
            </a:ext>
            <a:ext uri="{147F2762-F138-4A5C-976F-8EAC2B608ADB}">
              <a16:predDERef xmlns:a16="http://schemas.microsoft.com/office/drawing/2014/main" pred="{0AE91FB9-D895-4ACA-B112-C0AC8C5DC7BA}"/>
            </a:ext>
          </a:extLst>
        </xdr:cNvPr>
        <xdr:cNvSpPr>
          <a:spLocks noChangeAspect="1" noChangeArrowheads="1"/>
        </xdr:cNvSpPr>
      </xdr:nvSpPr>
      <xdr:spPr bwMode="auto">
        <a:xfrm>
          <a:off x="3676650" y="4086225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5474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AAA52350-ACFD-49B9-ABB9-BCF4CB70FA78}"/>
            </a:ext>
            <a:ext uri="{147F2762-F138-4A5C-976F-8EAC2B608ADB}">
              <a16:predDERef xmlns:a16="http://schemas.microsoft.com/office/drawing/2014/main" pred="{3D2DD410-8194-4977-9584-D3CFEA3AE17E}"/>
            </a:ext>
          </a:extLst>
        </xdr:cNvPr>
        <xdr:cNvSpPr>
          <a:spLocks noChangeAspect="1" noChangeArrowheads="1"/>
        </xdr:cNvSpPr>
      </xdr:nvSpPr>
      <xdr:spPr bwMode="auto">
        <a:xfrm>
          <a:off x="3676650" y="5667375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295474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17182BA0-9C1A-4BDC-BB0F-979B3083E38C}"/>
            </a:ext>
            <a:ext uri="{147F2762-F138-4A5C-976F-8EAC2B608ADB}">
              <a16:predDERef xmlns:a16="http://schemas.microsoft.com/office/drawing/2014/main" pred="{AAA52350-ACFD-49B9-ABB9-BCF4CB70FA78}"/>
            </a:ext>
          </a:extLst>
        </xdr:cNvPr>
        <xdr:cNvSpPr>
          <a:spLocks noChangeAspect="1" noChangeArrowheads="1"/>
        </xdr:cNvSpPr>
      </xdr:nvSpPr>
      <xdr:spPr bwMode="auto">
        <a:xfrm>
          <a:off x="3676650" y="6743700"/>
          <a:ext cx="304800" cy="2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99548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AB239CB9-BB72-4046-995D-DD2FD961E955}"/>
            </a:ext>
            <a:ext uri="{147F2762-F138-4A5C-976F-8EAC2B608ADB}">
              <a16:predDERef xmlns:a16="http://schemas.microsoft.com/office/drawing/2014/main" pred="{7811E845-E4A4-4D0A-A669-A6EE9944E6EB}"/>
            </a:ext>
          </a:extLst>
        </xdr:cNvPr>
        <xdr:cNvSpPr>
          <a:spLocks noChangeAspect="1" noChangeArrowheads="1"/>
        </xdr:cNvSpPr>
      </xdr:nvSpPr>
      <xdr:spPr bwMode="auto">
        <a:xfrm>
          <a:off x="3676650" y="3686175"/>
          <a:ext cx="304800" cy="299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91928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CB8EA45-2574-4B59-8FEA-D3DCB0449CCF}"/>
            </a:ext>
            <a:ext uri="{147F2762-F138-4A5C-976F-8EAC2B608ADB}">
              <a16:predDERef xmlns:a16="http://schemas.microsoft.com/office/drawing/2014/main" pred="{AB239CB9-BB72-4046-995D-DD2FD961E955}"/>
            </a:ext>
          </a:extLst>
        </xdr:cNvPr>
        <xdr:cNvSpPr>
          <a:spLocks noChangeAspect="1" noChangeArrowheads="1"/>
        </xdr:cNvSpPr>
      </xdr:nvSpPr>
      <xdr:spPr bwMode="auto">
        <a:xfrm>
          <a:off x="3676650" y="3686175"/>
          <a:ext cx="304800" cy="291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1032091</xdr:colOff>
      <xdr:row>4</xdr:row>
      <xdr:rowOff>63935</xdr:rowOff>
    </xdr:from>
    <xdr:to>
      <xdr:col>1</xdr:col>
      <xdr:colOff>2180311</xdr:colOff>
      <xdr:row>4</xdr:row>
      <xdr:rowOff>1778064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776" y="1389606"/>
          <a:ext cx="1148220" cy="17141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152400</xdr:rowOff>
    </xdr:from>
    <xdr:to>
      <xdr:col>12</xdr:col>
      <xdr:colOff>326572</xdr:colOff>
      <xdr:row>53</xdr:row>
      <xdr:rowOff>68035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498CA3-1960-65AC-2DE9-44306DCEB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D40" totalsRowShown="0" headerRowDxfId="8" dataDxfId="7" headerRowBorderDxfId="5" tableBorderDxfId="6" totalsRowBorderDxfId="4">
  <autoFilter ref="A1:D40" xr:uid="{00000000-0009-0000-0100-000001000000}"/>
  <tableColumns count="4">
    <tableColumn id="1" xr3:uid="{00000000-0010-0000-0000-000001000000}" name="Name of Distributor" dataDxfId="3"/>
    <tableColumn id="2" xr3:uid="{00000000-0010-0000-0000-000002000000}" name="FIRST MEDICAL - Q1 2026" dataDxfId="2"/>
    <tableColumn id="3" xr3:uid="{A01773F2-BBE2-4341-85F3-A8946F05C92F}" name="Coluna1" dataDxfId="1"/>
    <tableColumn id="4" xr3:uid="{CD259912-104A-414E-B894-ABDDF288F68B}" name="Coluna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13" zoomScale="146" zoomScaleNormal="146" workbookViewId="0">
      <selection activeCell="C40" sqref="C40"/>
    </sheetView>
  </sheetViews>
  <sheetFormatPr defaultColWidth="11.42578125" defaultRowHeight="12.75"/>
  <cols>
    <col min="1" max="1" width="55.140625" customWidth="1"/>
    <col min="2" max="2" width="47.28515625" customWidth="1"/>
    <col min="3" max="3" width="18.7109375" customWidth="1"/>
  </cols>
  <sheetData>
    <row r="1" spans="1:4" ht="36.6" customHeight="1">
      <c r="A1" s="1" t="s">
        <v>0</v>
      </c>
      <c r="B1" s="2" t="s">
        <v>1</v>
      </c>
      <c r="C1" s="89" t="s">
        <v>2</v>
      </c>
      <c r="D1" s="89" t="s">
        <v>3</v>
      </c>
    </row>
    <row r="2" spans="1:4" ht="13.5">
      <c r="A2" s="18" t="s">
        <v>4</v>
      </c>
      <c r="B2" s="20" t="s">
        <v>5</v>
      </c>
      <c r="C2" s="86"/>
      <c r="D2" s="87"/>
    </row>
    <row r="3" spans="1:4" ht="29.45" customHeight="1">
      <c r="A3" s="18" t="s">
        <v>6</v>
      </c>
      <c r="B3" s="20" t="s">
        <v>7</v>
      </c>
      <c r="C3" s="86"/>
      <c r="D3" s="86"/>
    </row>
    <row r="4" spans="1:4" ht="23.1" customHeight="1">
      <c r="A4" s="18" t="s">
        <v>8</v>
      </c>
      <c r="B4" s="59">
        <v>0.06</v>
      </c>
      <c r="C4" s="87"/>
      <c r="D4" s="87"/>
    </row>
    <row r="5" spans="1:4" ht="143.25" customHeight="1">
      <c r="A5" s="18" t="s">
        <v>9</v>
      </c>
      <c r="B5" s="19"/>
      <c r="C5" s="87"/>
      <c r="D5" s="87"/>
    </row>
    <row r="6" spans="1:4" ht="27.6" customHeight="1">
      <c r="A6" s="18" t="s">
        <v>10</v>
      </c>
      <c r="B6" s="20" t="s">
        <v>11</v>
      </c>
      <c r="C6" s="87"/>
      <c r="D6" s="87"/>
    </row>
    <row r="7" spans="1:4" ht="29.45" customHeight="1">
      <c r="A7" s="18" t="s">
        <v>12</v>
      </c>
      <c r="B7" s="20" t="s">
        <v>13</v>
      </c>
      <c r="C7" s="87"/>
      <c r="D7" s="87"/>
    </row>
    <row r="8" spans="1:4" ht="16.350000000000001" customHeight="1">
      <c r="A8" s="18" t="s">
        <v>14</v>
      </c>
      <c r="B8" s="59">
        <v>0.6</v>
      </c>
      <c r="C8" s="87"/>
      <c r="D8" s="87"/>
    </row>
    <row r="9" spans="1:4" ht="16.350000000000001" customHeight="1">
      <c r="A9" s="18" t="s">
        <v>15</v>
      </c>
      <c r="B9" s="60"/>
      <c r="C9" s="87"/>
      <c r="D9" s="87"/>
    </row>
    <row r="10" spans="1:4" ht="16.350000000000001" customHeight="1">
      <c r="A10" s="18" t="s">
        <v>16</v>
      </c>
      <c r="B10" s="60"/>
      <c r="C10" s="87"/>
      <c r="D10" s="87"/>
    </row>
    <row r="11" spans="1:4" ht="16.350000000000001" customHeight="1">
      <c r="A11" s="18" t="s">
        <v>17</v>
      </c>
      <c r="B11" s="61"/>
      <c r="C11" s="87"/>
      <c r="D11" s="87"/>
    </row>
    <row r="12" spans="1:4" ht="124.7" customHeight="1">
      <c r="A12" s="18" t="s">
        <v>18</v>
      </c>
      <c r="B12" s="83" t="s">
        <v>19</v>
      </c>
      <c r="C12" s="87"/>
      <c r="D12" s="87"/>
    </row>
    <row r="13" spans="1:4" ht="85.35" customHeight="1">
      <c r="A13" s="21" t="s">
        <v>20</v>
      </c>
      <c r="B13" s="82" t="s">
        <v>21</v>
      </c>
      <c r="C13" s="87"/>
      <c r="D13" s="87"/>
    </row>
    <row r="14" spans="1:4" ht="25.5">
      <c r="A14" s="18" t="s">
        <v>22</v>
      </c>
      <c r="B14" s="85" t="s">
        <v>23</v>
      </c>
      <c r="C14" s="87"/>
      <c r="D14" s="87"/>
    </row>
    <row r="15" spans="1:4" ht="13.5">
      <c r="A15" s="18"/>
      <c r="B15" s="85" t="s">
        <v>24</v>
      </c>
      <c r="C15" s="87" t="s">
        <v>25</v>
      </c>
      <c r="D15" s="87">
        <v>1</v>
      </c>
    </row>
    <row r="16" spans="1:4" ht="13.5">
      <c r="A16" s="18"/>
      <c r="B16" s="85" t="s">
        <v>26</v>
      </c>
      <c r="C16" s="87" t="s">
        <v>27</v>
      </c>
      <c r="D16" s="87">
        <v>2</v>
      </c>
    </row>
    <row r="17" spans="1:4" ht="13.5">
      <c r="A17" s="18"/>
      <c r="B17" s="85" t="s">
        <v>28</v>
      </c>
      <c r="C17" s="87" t="s">
        <v>29</v>
      </c>
      <c r="D17" s="87">
        <v>4</v>
      </c>
    </row>
    <row r="18" spans="1:4">
      <c r="A18" s="18"/>
      <c r="B18" s="85" t="s">
        <v>30</v>
      </c>
      <c r="C18" s="86" t="s">
        <v>31</v>
      </c>
      <c r="D18" s="88">
        <v>2</v>
      </c>
    </row>
    <row r="19" spans="1:4" ht="13.5">
      <c r="A19" s="18"/>
      <c r="B19" s="85" t="s">
        <v>32</v>
      </c>
      <c r="C19" s="87" t="s">
        <v>25</v>
      </c>
      <c r="D19" s="87">
        <v>3</v>
      </c>
    </row>
    <row r="20" spans="1:4" ht="13.5">
      <c r="A20" s="18"/>
      <c r="B20" s="85" t="s">
        <v>33</v>
      </c>
      <c r="C20" s="87" t="s">
        <v>34</v>
      </c>
      <c r="D20" s="87">
        <v>3</v>
      </c>
    </row>
    <row r="21" spans="1:4" ht="13.5">
      <c r="A21" s="18"/>
      <c r="B21" s="85" t="s">
        <v>35</v>
      </c>
      <c r="C21" s="87" t="s">
        <v>36</v>
      </c>
      <c r="D21" s="87">
        <v>3</v>
      </c>
    </row>
    <row r="22" spans="1:4" ht="13.5">
      <c r="A22" s="18"/>
      <c r="B22" s="85" t="s">
        <v>37</v>
      </c>
      <c r="C22" s="87" t="s">
        <v>38</v>
      </c>
      <c r="D22" s="87">
        <v>1</v>
      </c>
    </row>
    <row r="23" spans="1:4" ht="13.5">
      <c r="A23" s="18"/>
      <c r="B23" s="85" t="s">
        <v>39</v>
      </c>
      <c r="C23" s="93" t="s">
        <v>40</v>
      </c>
      <c r="D23" s="87"/>
    </row>
    <row r="24" spans="1:4" ht="13.5">
      <c r="A24" s="18"/>
      <c r="B24" s="85" t="s">
        <v>41</v>
      </c>
      <c r="C24" s="87"/>
      <c r="D24" s="87"/>
    </row>
    <row r="25" spans="1:4" ht="13.5">
      <c r="A25" s="18"/>
      <c r="B25" s="85" t="s">
        <v>42</v>
      </c>
      <c r="C25" s="87" t="s">
        <v>43</v>
      </c>
      <c r="D25" s="87">
        <v>3</v>
      </c>
    </row>
    <row r="26" spans="1:4" ht="13.5">
      <c r="A26" s="18"/>
      <c r="B26" s="85" t="s">
        <v>44</v>
      </c>
      <c r="C26" s="87" t="s">
        <v>45</v>
      </c>
      <c r="D26" s="87">
        <v>6</v>
      </c>
    </row>
    <row r="27" spans="1:4" ht="13.5">
      <c r="A27" s="18"/>
      <c r="B27" s="85" t="s">
        <v>46</v>
      </c>
      <c r="C27" s="87" t="s">
        <v>47</v>
      </c>
      <c r="D27" s="87">
        <v>1</v>
      </c>
    </row>
    <row r="28" spans="1:4" ht="13.5">
      <c r="A28" s="18"/>
      <c r="B28" s="85" t="s">
        <v>48</v>
      </c>
      <c r="C28" s="87" t="s">
        <v>49</v>
      </c>
      <c r="D28" s="87">
        <v>1</v>
      </c>
    </row>
    <row r="29" spans="1:4" ht="13.5">
      <c r="A29" s="18"/>
      <c r="B29" s="85" t="s">
        <v>50</v>
      </c>
      <c r="C29" s="87" t="s">
        <v>51</v>
      </c>
      <c r="D29" s="87">
        <v>2</v>
      </c>
    </row>
    <row r="30" spans="1:4">
      <c r="A30" s="18"/>
      <c r="B30" s="85" t="s">
        <v>52</v>
      </c>
      <c r="C30" s="86" t="s">
        <v>31</v>
      </c>
      <c r="D30" s="86">
        <v>1</v>
      </c>
    </row>
    <row r="31" spans="1:4" ht="13.5">
      <c r="A31" s="18"/>
      <c r="B31" s="85" t="s">
        <v>53</v>
      </c>
      <c r="C31" s="87" t="s">
        <v>25</v>
      </c>
      <c r="D31" s="87">
        <v>1</v>
      </c>
    </row>
    <row r="32" spans="1:4" ht="13.5">
      <c r="A32" s="18"/>
      <c r="B32" s="85" t="s">
        <v>54</v>
      </c>
      <c r="C32" s="87" t="s">
        <v>55</v>
      </c>
      <c r="D32" s="87">
        <v>4</v>
      </c>
    </row>
    <row r="33" spans="1:4" ht="13.5">
      <c r="A33" s="18"/>
      <c r="B33" s="85" t="s">
        <v>56</v>
      </c>
      <c r="C33" s="87" t="s">
        <v>49</v>
      </c>
      <c r="D33" s="87">
        <v>3</v>
      </c>
    </row>
    <row r="34" spans="1:4" ht="13.5">
      <c r="A34" s="18"/>
      <c r="B34" s="85" t="s">
        <v>57</v>
      </c>
      <c r="C34" s="87" t="s">
        <v>51</v>
      </c>
      <c r="D34" s="87">
        <v>1</v>
      </c>
    </row>
    <row r="35" spans="1:4" ht="13.5">
      <c r="A35" s="18"/>
      <c r="B35" s="85" t="s">
        <v>58</v>
      </c>
      <c r="C35" s="87"/>
      <c r="D35" s="87"/>
    </row>
    <row r="36" spans="1:4" ht="13.5">
      <c r="A36" s="18"/>
      <c r="B36" s="85" t="s">
        <v>59</v>
      </c>
      <c r="C36" s="87" t="s">
        <v>60</v>
      </c>
      <c r="D36" s="87">
        <v>2</v>
      </c>
    </row>
    <row r="37" spans="1:4" ht="13.5">
      <c r="A37" s="18"/>
      <c r="B37" s="85" t="s">
        <v>61</v>
      </c>
      <c r="C37" s="87" t="s">
        <v>51</v>
      </c>
      <c r="D37" s="87">
        <v>1</v>
      </c>
    </row>
    <row r="38" spans="1:4" ht="13.5">
      <c r="A38" s="18"/>
      <c r="B38" s="85" t="s">
        <v>62</v>
      </c>
      <c r="C38" s="87" t="s">
        <v>63</v>
      </c>
      <c r="D38" s="88">
        <v>5</v>
      </c>
    </row>
    <row r="39" spans="1:4" ht="13.5">
      <c r="A39" s="18"/>
      <c r="B39" s="85" t="s">
        <v>64</v>
      </c>
      <c r="C39" s="87" t="s">
        <v>65</v>
      </c>
      <c r="D39" s="87">
        <v>6</v>
      </c>
    </row>
    <row r="40" spans="1:4" ht="13.5">
      <c r="A40" s="18"/>
      <c r="B40" s="85" t="s">
        <v>66</v>
      </c>
      <c r="C40" s="93" t="s">
        <v>40</v>
      </c>
      <c r="D40" s="87"/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topLeftCell="A16" zoomScale="70" zoomScaleNormal="70" workbookViewId="0">
      <selection activeCell="J27" sqref="J27"/>
    </sheetView>
  </sheetViews>
  <sheetFormatPr defaultColWidth="11.42578125" defaultRowHeight="12.75"/>
  <cols>
    <col min="1" max="1" width="99.7109375" customWidth="1"/>
    <col min="2" max="2" width="10.85546875" customWidth="1"/>
  </cols>
  <sheetData>
    <row r="1" spans="1:13" s="3" customFormat="1" ht="15.75" thickBot="1">
      <c r="A1"/>
      <c r="B1" s="95">
        <v>2024</v>
      </c>
      <c r="C1" s="95"/>
      <c r="D1" s="95"/>
      <c r="E1" s="95"/>
      <c r="F1" s="95">
        <v>2025</v>
      </c>
      <c r="G1" s="95"/>
      <c r="H1" s="95"/>
      <c r="I1" s="95"/>
      <c r="J1" s="95">
        <v>2026</v>
      </c>
      <c r="K1" s="95"/>
      <c r="L1" s="95"/>
      <c r="M1" s="95"/>
    </row>
    <row r="2" spans="1:13" s="3" customFormat="1" ht="16.5" thickBot="1">
      <c r="A2" s="50" t="s">
        <v>67</v>
      </c>
      <c r="B2" s="7" t="s">
        <v>68</v>
      </c>
      <c r="C2" s="7" t="s">
        <v>69</v>
      </c>
      <c r="D2" s="7" t="s">
        <v>70</v>
      </c>
      <c r="E2" s="7" t="s">
        <v>71</v>
      </c>
      <c r="F2" s="7" t="s">
        <v>68</v>
      </c>
      <c r="G2" s="7" t="s">
        <v>69</v>
      </c>
      <c r="H2" s="7" t="s">
        <v>70</v>
      </c>
      <c r="I2" s="7" t="s">
        <v>71</v>
      </c>
      <c r="J2" s="7" t="s">
        <v>68</v>
      </c>
      <c r="K2" s="7" t="s">
        <v>69</v>
      </c>
      <c r="L2" s="7" t="s">
        <v>70</v>
      </c>
      <c r="M2" s="7" t="s">
        <v>71</v>
      </c>
    </row>
    <row r="3" spans="1:13" ht="15.75" thickBot="1">
      <c r="A3" s="51" t="s">
        <v>72</v>
      </c>
      <c r="B3" s="10"/>
      <c r="C3" s="10"/>
      <c r="D3" s="10"/>
      <c r="E3" s="10">
        <v>78300</v>
      </c>
      <c r="F3" s="11"/>
      <c r="G3" s="11">
        <v>1300</v>
      </c>
      <c r="H3" s="11">
        <v>700</v>
      </c>
      <c r="I3" s="11">
        <v>2000</v>
      </c>
      <c r="J3" s="5">
        <v>10000</v>
      </c>
      <c r="K3" s="5"/>
      <c r="L3" s="5"/>
      <c r="M3" s="5"/>
    </row>
    <row r="4" spans="1:13" ht="15.75" thickBot="1">
      <c r="A4" s="52" t="s">
        <v>73</v>
      </c>
      <c r="B4" s="10"/>
      <c r="C4" s="10"/>
      <c r="D4" s="10"/>
      <c r="E4" s="10"/>
      <c r="F4" s="11"/>
      <c r="G4" s="11">
        <v>14500</v>
      </c>
      <c r="H4" s="11">
        <v>14500</v>
      </c>
      <c r="I4" s="11">
        <v>5000</v>
      </c>
      <c r="J4" s="5">
        <v>8600</v>
      </c>
      <c r="K4" s="5"/>
      <c r="L4" s="5"/>
      <c r="M4" s="5"/>
    </row>
    <row r="5" spans="1:13" ht="15.75" thickBot="1">
      <c r="A5" s="51" t="s">
        <v>74</v>
      </c>
      <c r="B5" s="10"/>
      <c r="C5" s="10"/>
      <c r="D5" s="10"/>
      <c r="E5" s="10"/>
      <c r="F5" s="11"/>
      <c r="G5" s="11">
        <v>2600</v>
      </c>
      <c r="H5" s="11">
        <v>4000</v>
      </c>
      <c r="I5" s="11">
        <v>2500</v>
      </c>
      <c r="J5" s="5">
        <v>3000</v>
      </c>
      <c r="K5" s="5"/>
      <c r="L5" s="5"/>
      <c r="M5" s="5"/>
    </row>
    <row r="6" spans="1:13" ht="31.35" customHeight="1">
      <c r="A6" s="53" t="s">
        <v>75</v>
      </c>
      <c r="B6" s="10"/>
      <c r="C6" s="10"/>
      <c r="D6" s="10"/>
      <c r="E6" s="10"/>
      <c r="F6" s="11"/>
      <c r="G6" s="11">
        <v>2728</v>
      </c>
      <c r="H6" s="11">
        <v>7244</v>
      </c>
      <c r="I6" s="11"/>
      <c r="J6" s="5">
        <v>690</v>
      </c>
      <c r="K6" s="5"/>
      <c r="L6" s="5"/>
      <c r="M6" s="5"/>
    </row>
    <row r="7" spans="1:13" ht="17.45" customHeight="1">
      <c r="A7" s="54" t="s">
        <v>76</v>
      </c>
      <c r="B7" s="10"/>
      <c r="C7" s="10"/>
      <c r="D7" s="10"/>
      <c r="E7" s="10"/>
      <c r="F7" s="11"/>
      <c r="G7" s="11"/>
      <c r="H7" s="11">
        <v>55</v>
      </c>
      <c r="I7" s="11"/>
      <c r="J7" s="5">
        <v>10</v>
      </c>
      <c r="K7" s="5"/>
      <c r="L7" s="5"/>
      <c r="M7" s="5"/>
    </row>
    <row r="8" spans="1:13" ht="17.45" customHeight="1">
      <c r="A8" s="53" t="s">
        <v>77</v>
      </c>
      <c r="B8" s="10">
        <v>1600</v>
      </c>
      <c r="C8" s="10">
        <v>1000</v>
      </c>
      <c r="D8" s="10"/>
      <c r="E8" s="10"/>
      <c r="F8" s="11"/>
      <c r="G8" s="11">
        <v>830</v>
      </c>
      <c r="H8" s="11">
        <v>875</v>
      </c>
      <c r="I8" s="11">
        <v>50</v>
      </c>
      <c r="J8" s="5">
        <v>170</v>
      </c>
      <c r="K8" s="5"/>
      <c r="L8" s="5"/>
      <c r="M8" s="5"/>
    </row>
    <row r="9" spans="1:13" ht="15.75" thickBot="1">
      <c r="A9" s="51" t="s">
        <v>78</v>
      </c>
      <c r="B9" s="10"/>
      <c r="C9" s="10"/>
      <c r="D9" s="10"/>
      <c r="E9" s="10">
        <v>230</v>
      </c>
      <c r="F9" s="11"/>
      <c r="G9" s="11">
        <v>230</v>
      </c>
      <c r="H9" s="11">
        <v>280</v>
      </c>
      <c r="I9" s="11"/>
      <c r="J9" s="5">
        <v>130</v>
      </c>
      <c r="K9" s="5"/>
      <c r="L9" s="5"/>
      <c r="M9" s="5"/>
    </row>
    <row r="10" spans="1:13" ht="15.75" thickBot="1">
      <c r="A10" s="52" t="s">
        <v>79</v>
      </c>
      <c r="B10" s="10"/>
      <c r="C10" s="10"/>
      <c r="D10" s="10"/>
      <c r="E10" s="10">
        <v>640</v>
      </c>
      <c r="F10" s="11"/>
      <c r="G10" s="11">
        <v>860</v>
      </c>
      <c r="H10" s="11">
        <v>480</v>
      </c>
      <c r="I10" s="11"/>
      <c r="J10" s="5"/>
      <c r="K10" s="5"/>
      <c r="L10" s="5"/>
      <c r="M10" s="5"/>
    </row>
    <row r="11" spans="1:13" ht="15.75" thickBot="1">
      <c r="A11" s="51" t="s">
        <v>80</v>
      </c>
      <c r="B11" s="10"/>
      <c r="C11" s="10"/>
      <c r="D11" s="10"/>
      <c r="E11" s="10"/>
      <c r="F11" s="11"/>
      <c r="G11" s="11"/>
      <c r="H11" s="11"/>
      <c r="I11" s="11"/>
      <c r="J11" s="5"/>
      <c r="K11" s="5"/>
      <c r="L11" s="5"/>
      <c r="M11" s="5"/>
    </row>
    <row r="12" spans="1:13" ht="15.75" thickBot="1">
      <c r="A12" s="51" t="s">
        <v>81</v>
      </c>
      <c r="B12" s="10"/>
      <c r="C12" s="10"/>
      <c r="D12" s="10"/>
      <c r="E12" s="10"/>
      <c r="F12" s="11"/>
      <c r="G12" s="11"/>
      <c r="H12" s="11"/>
      <c r="I12" s="11">
        <v>12200</v>
      </c>
      <c r="J12" s="5">
        <v>24500</v>
      </c>
      <c r="K12" s="5"/>
      <c r="L12" s="5"/>
      <c r="M12" s="5"/>
    </row>
    <row r="13" spans="1:13" ht="18.75" thickBot="1">
      <c r="A13" s="55" t="s">
        <v>82</v>
      </c>
      <c r="B13" s="15">
        <f>SUM(B3:B11)</f>
        <v>1600</v>
      </c>
      <c r="C13" s="15">
        <f t="shared" ref="C13:H13" si="0">SUM(C3:C11)</f>
        <v>1000</v>
      </c>
      <c r="D13" s="15">
        <f t="shared" si="0"/>
        <v>0</v>
      </c>
      <c r="E13" s="15">
        <f t="shared" si="0"/>
        <v>79170</v>
      </c>
      <c r="F13" s="15">
        <f t="shared" si="0"/>
        <v>0</v>
      </c>
      <c r="G13" s="15">
        <f t="shared" si="0"/>
        <v>23048</v>
      </c>
      <c r="H13" s="15">
        <f t="shared" si="0"/>
        <v>28134</v>
      </c>
      <c r="I13" s="15">
        <f>SUM(I3:I12)</f>
        <v>21750</v>
      </c>
      <c r="J13" s="15">
        <f>SUM(J3:J12)</f>
        <v>47100</v>
      </c>
      <c r="K13" s="16"/>
      <c r="L13" s="16"/>
      <c r="M13" s="16"/>
    </row>
    <row r="14" spans="1:13" ht="15.75">
      <c r="A14" s="56"/>
      <c r="B14" s="13"/>
      <c r="C14" s="13"/>
      <c r="D14" s="13"/>
      <c r="E14" s="13"/>
      <c r="F14" s="13"/>
      <c r="G14" s="90">
        <v>1</v>
      </c>
      <c r="H14" s="90">
        <f>(H13/G13)-1</f>
        <v>0.2206699062825408</v>
      </c>
      <c r="I14" s="90">
        <f>(I13/H13)-1</f>
        <v>-0.22691405416933252</v>
      </c>
      <c r="J14" s="91">
        <f>(J13/I13)-1</f>
        <v>1.1655172413793102</v>
      </c>
      <c r="K14" s="9"/>
      <c r="L14" s="9"/>
      <c r="M14" s="9"/>
    </row>
    <row r="15" spans="1:13" ht="16.5" thickBot="1">
      <c r="A15" s="56"/>
      <c r="B15" s="13"/>
      <c r="C15" s="13"/>
      <c r="D15" s="13"/>
      <c r="E15" s="13"/>
      <c r="F15" s="13"/>
      <c r="G15" s="13"/>
      <c r="H15" s="13"/>
      <c r="I15" s="13"/>
      <c r="J15" s="9"/>
      <c r="K15" s="9"/>
      <c r="L15" s="9"/>
      <c r="M15" s="9"/>
    </row>
    <row r="16" spans="1:13" ht="16.5" thickBot="1">
      <c r="A16" s="57" t="s">
        <v>83</v>
      </c>
      <c r="B16" s="12" t="s">
        <v>68</v>
      </c>
      <c r="C16" s="12" t="s">
        <v>69</v>
      </c>
      <c r="D16" s="12" t="s">
        <v>70</v>
      </c>
      <c r="E16" s="12" t="s">
        <v>71</v>
      </c>
      <c r="F16" s="12" t="s">
        <v>68</v>
      </c>
      <c r="G16" s="12" t="s">
        <v>69</v>
      </c>
      <c r="H16" s="12" t="s">
        <v>70</v>
      </c>
      <c r="I16" s="12" t="s">
        <v>71</v>
      </c>
      <c r="J16" s="8" t="s">
        <v>68</v>
      </c>
      <c r="K16" s="8" t="s">
        <v>69</v>
      </c>
      <c r="L16" s="8" t="s">
        <v>70</v>
      </c>
      <c r="M16" s="8" t="s">
        <v>71</v>
      </c>
    </row>
    <row r="17" spans="1:13" ht="15.75" thickBot="1">
      <c r="A17" s="51" t="s">
        <v>72</v>
      </c>
      <c r="B17" s="10"/>
      <c r="C17" s="10"/>
      <c r="D17" s="10"/>
      <c r="E17" s="10"/>
      <c r="F17" s="11">
        <v>4800</v>
      </c>
      <c r="G17" s="11">
        <v>5204</v>
      </c>
      <c r="H17" s="11">
        <v>8723</v>
      </c>
      <c r="I17" s="11">
        <v>7799</v>
      </c>
      <c r="J17" s="5">
        <v>10891</v>
      </c>
      <c r="K17" s="5"/>
      <c r="L17" s="5"/>
      <c r="M17" s="5"/>
    </row>
    <row r="18" spans="1:13" ht="15.75" thickBot="1">
      <c r="A18" s="52" t="s">
        <v>73</v>
      </c>
      <c r="B18" s="10"/>
      <c r="C18" s="10"/>
      <c r="D18" s="10"/>
      <c r="E18" s="10"/>
      <c r="F18" s="11">
        <v>1330</v>
      </c>
      <c r="G18" s="11">
        <v>499</v>
      </c>
      <c r="H18" s="11">
        <v>4349</v>
      </c>
      <c r="I18" s="11">
        <v>3440</v>
      </c>
      <c r="J18" s="5">
        <v>4742</v>
      </c>
      <c r="K18" s="5"/>
      <c r="L18" s="5"/>
      <c r="M18" s="5"/>
    </row>
    <row r="19" spans="1:13" ht="15.75" thickBot="1">
      <c r="A19" s="51" t="s">
        <v>74</v>
      </c>
      <c r="B19" s="10"/>
      <c r="C19" s="10"/>
      <c r="D19" s="10"/>
      <c r="E19" s="10"/>
      <c r="F19" s="11"/>
      <c r="G19" s="11"/>
      <c r="H19" s="11">
        <v>538</v>
      </c>
      <c r="I19" s="11">
        <v>2015</v>
      </c>
      <c r="J19" s="5">
        <v>2024</v>
      </c>
      <c r="K19" s="5"/>
      <c r="L19" s="5"/>
      <c r="M19" s="5"/>
    </row>
    <row r="20" spans="1:13" ht="31.7" customHeight="1">
      <c r="A20" s="53" t="s">
        <v>75</v>
      </c>
      <c r="B20" s="10"/>
      <c r="C20" s="10"/>
      <c r="D20" s="10"/>
      <c r="E20" s="10"/>
      <c r="F20" s="11">
        <v>193</v>
      </c>
      <c r="G20" s="11">
        <v>1048</v>
      </c>
      <c r="H20" s="11">
        <v>1181</v>
      </c>
      <c r="I20" s="11">
        <v>1152</v>
      </c>
      <c r="J20" s="5">
        <v>1767</v>
      </c>
      <c r="K20" s="5"/>
      <c r="L20" s="5"/>
      <c r="M20" s="5"/>
    </row>
    <row r="21" spans="1:13" ht="17.45" customHeight="1">
      <c r="A21" s="54" t="s">
        <v>76</v>
      </c>
      <c r="B21" s="10">
        <v>18</v>
      </c>
      <c r="C21" s="10">
        <v>20</v>
      </c>
      <c r="D21" s="10">
        <v>25</v>
      </c>
      <c r="E21" s="10">
        <v>20</v>
      </c>
      <c r="F21" s="11">
        <v>35</v>
      </c>
      <c r="G21" s="11">
        <v>21</v>
      </c>
      <c r="H21" s="11">
        <v>13</v>
      </c>
      <c r="I21" s="11">
        <v>8</v>
      </c>
      <c r="J21" s="5">
        <v>26</v>
      </c>
      <c r="K21" s="5"/>
      <c r="L21" s="5"/>
      <c r="M21" s="5"/>
    </row>
    <row r="22" spans="1:13" ht="17.45" customHeight="1">
      <c r="A22" s="53" t="s">
        <v>77</v>
      </c>
      <c r="B22" s="10">
        <v>195</v>
      </c>
      <c r="C22" s="10">
        <v>341</v>
      </c>
      <c r="D22" s="10">
        <v>425</v>
      </c>
      <c r="E22" s="10">
        <v>208</v>
      </c>
      <c r="F22" s="11">
        <v>285</v>
      </c>
      <c r="G22" s="11">
        <v>630</v>
      </c>
      <c r="H22" s="11">
        <v>455</v>
      </c>
      <c r="I22" s="11">
        <v>144</v>
      </c>
      <c r="J22" s="5">
        <v>132</v>
      </c>
      <c r="K22" s="5"/>
      <c r="L22" s="5"/>
      <c r="M22" s="5"/>
    </row>
    <row r="23" spans="1:13" ht="15.75" thickBot="1">
      <c r="A23" s="51" t="s">
        <v>78</v>
      </c>
      <c r="B23" s="10"/>
      <c r="C23" s="10"/>
      <c r="D23" s="10"/>
      <c r="E23" s="10"/>
      <c r="F23" s="11">
        <v>32</v>
      </c>
      <c r="G23" s="11">
        <v>53</v>
      </c>
      <c r="H23" s="11">
        <v>102</v>
      </c>
      <c r="I23" s="11">
        <v>79</v>
      </c>
      <c r="J23" s="5">
        <v>176</v>
      </c>
      <c r="K23" s="5"/>
      <c r="L23" s="5"/>
      <c r="M23" s="5"/>
    </row>
    <row r="24" spans="1:13" ht="15.75" thickBot="1">
      <c r="A24" s="52" t="s">
        <v>79</v>
      </c>
      <c r="B24" s="10"/>
      <c r="C24" s="10"/>
      <c r="D24" s="10"/>
      <c r="E24" s="10"/>
      <c r="F24" s="11">
        <v>20</v>
      </c>
      <c r="G24" s="11">
        <v>42</v>
      </c>
      <c r="H24" s="11">
        <v>82</v>
      </c>
      <c r="I24" s="11">
        <v>119</v>
      </c>
      <c r="J24" s="5">
        <v>223</v>
      </c>
      <c r="K24" s="5"/>
      <c r="L24" s="5"/>
      <c r="M24" s="5"/>
    </row>
    <row r="25" spans="1:13" ht="15.75" thickBot="1">
      <c r="A25" s="51" t="s">
        <v>84</v>
      </c>
      <c r="B25" s="10"/>
      <c r="C25" s="10"/>
      <c r="D25" s="10"/>
      <c r="E25" s="10"/>
      <c r="F25" s="11">
        <v>30</v>
      </c>
      <c r="G25" s="11">
        <v>15</v>
      </c>
      <c r="H25" s="11"/>
      <c r="I25" s="11"/>
      <c r="J25" s="5">
        <v>14</v>
      </c>
      <c r="K25" s="5"/>
      <c r="L25" s="5"/>
      <c r="M25" s="5"/>
    </row>
    <row r="26" spans="1:13" ht="15.75" thickBot="1">
      <c r="A26" s="51" t="s">
        <v>81</v>
      </c>
      <c r="B26" s="10"/>
      <c r="C26" s="10"/>
      <c r="D26" s="10"/>
      <c r="E26" s="10"/>
      <c r="F26" s="11">
        <v>4210</v>
      </c>
      <c r="G26" s="11">
        <v>6195</v>
      </c>
      <c r="H26" s="11">
        <v>8752</v>
      </c>
      <c r="I26" s="11">
        <v>7963</v>
      </c>
      <c r="J26" s="5">
        <v>12855</v>
      </c>
      <c r="K26" s="5"/>
      <c r="L26" s="5"/>
      <c r="M26" s="5"/>
    </row>
    <row r="27" spans="1:13" ht="18.75" thickBot="1">
      <c r="A27" s="55" t="s">
        <v>82</v>
      </c>
      <c r="B27" s="17">
        <f>SUM(B17:B25)</f>
        <v>213</v>
      </c>
      <c r="C27" s="17">
        <f>SUM(C17:C25)</f>
        <v>361</v>
      </c>
      <c r="D27" s="17">
        <f>SUM(D17:D25)</f>
        <v>450</v>
      </c>
      <c r="E27" s="17">
        <f>SUM(E17:E25)</f>
        <v>228</v>
      </c>
      <c r="F27" s="17">
        <f>SUM(F17:F26)</f>
        <v>10935</v>
      </c>
      <c r="G27" s="17">
        <f>SUM(G17:G26)</f>
        <v>13707</v>
      </c>
      <c r="H27" s="17">
        <f>SUM(H17:H26)</f>
        <v>24195</v>
      </c>
      <c r="I27" s="17">
        <f>SUM(I17:I26)</f>
        <v>22719</v>
      </c>
      <c r="J27" s="17">
        <f>SUM(J17:J26)</f>
        <v>32850</v>
      </c>
      <c r="K27" s="16"/>
      <c r="L27" s="16"/>
      <c r="M27" s="16"/>
    </row>
    <row r="28" spans="1:13" ht="14.25">
      <c r="B28" s="14"/>
      <c r="C28" s="14"/>
      <c r="D28" s="14"/>
      <c r="E28" s="14"/>
      <c r="F28" s="14"/>
      <c r="G28" s="92">
        <f>(G27/F27)-1</f>
        <v>0.25349794238683132</v>
      </c>
      <c r="H28" s="92">
        <f t="shared" ref="H28:J28" si="1">(H27/G27)-1</f>
        <v>0.76515648938498582</v>
      </c>
      <c r="I28" s="92">
        <f t="shared" si="1"/>
        <v>-6.100433973961561E-2</v>
      </c>
      <c r="J28" s="92">
        <f t="shared" si="1"/>
        <v>0.44592631717945341</v>
      </c>
      <c r="K28" s="14"/>
      <c r="L28" s="14"/>
      <c r="M28" s="14"/>
    </row>
    <row r="29" spans="1:13" ht="14.2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14.25">
      <c r="B30" s="47" t="str">
        <f>B16</f>
        <v>Q1</v>
      </c>
      <c r="C30" s="47" t="str">
        <f t="shared" ref="C30:I30" si="2">C16</f>
        <v>Q2</v>
      </c>
      <c r="D30" s="47" t="str">
        <f t="shared" si="2"/>
        <v>Q3</v>
      </c>
      <c r="E30" s="47" t="str">
        <f t="shared" si="2"/>
        <v>Q4</v>
      </c>
      <c r="F30" s="47" t="str">
        <f t="shared" si="2"/>
        <v>Q1</v>
      </c>
      <c r="G30" s="47" t="str">
        <f t="shared" si="2"/>
        <v>Q2</v>
      </c>
      <c r="H30" s="47" t="str">
        <f t="shared" si="2"/>
        <v>Q3</v>
      </c>
      <c r="I30" s="47" t="str">
        <f t="shared" si="2"/>
        <v>Q4</v>
      </c>
      <c r="J30" s="48" t="s">
        <v>68</v>
      </c>
      <c r="K30" s="9" t="s">
        <v>69</v>
      </c>
      <c r="L30" s="9" t="s">
        <v>70</v>
      </c>
      <c r="M30" s="9" t="s">
        <v>71</v>
      </c>
    </row>
    <row r="31" spans="1:13" ht="14.25">
      <c r="A31" s="58" t="s">
        <v>85</v>
      </c>
      <c r="B31" s="47">
        <f>B13</f>
        <v>1600</v>
      </c>
      <c r="C31" s="47">
        <f t="shared" ref="C31:J31" si="3">C13</f>
        <v>1000</v>
      </c>
      <c r="D31" s="47">
        <f t="shared" si="3"/>
        <v>0</v>
      </c>
      <c r="E31" s="47">
        <f t="shared" si="3"/>
        <v>79170</v>
      </c>
      <c r="F31" s="47">
        <f t="shared" si="3"/>
        <v>0</v>
      </c>
      <c r="G31" s="47">
        <f t="shared" si="3"/>
        <v>23048</v>
      </c>
      <c r="H31" s="47">
        <f t="shared" si="3"/>
        <v>28134</v>
      </c>
      <c r="I31" s="47">
        <f t="shared" si="3"/>
        <v>21750</v>
      </c>
      <c r="J31" s="47">
        <f t="shared" si="3"/>
        <v>47100</v>
      </c>
      <c r="K31" s="9"/>
      <c r="L31" s="9"/>
      <c r="M31" s="9"/>
    </row>
    <row r="32" spans="1:13" ht="14.25">
      <c r="A32" s="58" t="s">
        <v>86</v>
      </c>
      <c r="B32" s="47">
        <f>B27</f>
        <v>213</v>
      </c>
      <c r="C32" s="47">
        <f t="shared" ref="C32:H32" si="4">C27</f>
        <v>361</v>
      </c>
      <c r="D32" s="47">
        <f t="shared" si="4"/>
        <v>450</v>
      </c>
      <c r="E32" s="47">
        <f t="shared" si="4"/>
        <v>228</v>
      </c>
      <c r="F32" s="47">
        <f t="shared" si="4"/>
        <v>10935</v>
      </c>
      <c r="G32" s="47">
        <f t="shared" si="4"/>
        <v>13707</v>
      </c>
      <c r="H32" s="47">
        <f t="shared" si="4"/>
        <v>24195</v>
      </c>
      <c r="I32" s="47">
        <f>I27</f>
        <v>22719</v>
      </c>
      <c r="J32" s="47">
        <f>J27</f>
        <v>32850</v>
      </c>
      <c r="K32" s="9"/>
      <c r="L32" s="9"/>
      <c r="M32" s="9"/>
    </row>
    <row r="33" spans="2:13" ht="14.25">
      <c r="B33" s="48"/>
      <c r="C33" s="48"/>
      <c r="D33" s="48"/>
      <c r="E33" s="48"/>
      <c r="F33" s="48"/>
      <c r="G33" s="48"/>
      <c r="H33" s="48"/>
      <c r="I33" s="48"/>
      <c r="J33" s="48"/>
      <c r="K33" s="9"/>
      <c r="L33" s="9"/>
      <c r="M33" s="9"/>
    </row>
    <row r="34" spans="2:13">
      <c r="B34" s="49"/>
      <c r="C34" s="49"/>
      <c r="D34" s="49"/>
      <c r="E34" s="49"/>
      <c r="F34" s="49"/>
      <c r="G34" s="49"/>
      <c r="H34" s="49"/>
      <c r="I34" s="49"/>
      <c r="J34" s="49"/>
    </row>
    <row r="35" spans="2:13">
      <c r="B35" s="49"/>
      <c r="C35" s="49"/>
      <c r="D35" s="49"/>
      <c r="E35" s="49"/>
      <c r="F35" s="49"/>
      <c r="G35" s="49"/>
      <c r="H35" s="49"/>
      <c r="I35" s="49"/>
      <c r="J35" s="49"/>
    </row>
  </sheetData>
  <mergeCells count="3">
    <mergeCell ref="J1:M1"/>
    <mergeCell ref="B1:E1"/>
    <mergeCell ref="F1:I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68"/>
  <sheetViews>
    <sheetView zoomScaleNormal="100" workbookViewId="0">
      <pane xSplit="1" ySplit="5" topLeftCell="B65" activePane="bottomRight" state="frozen"/>
      <selection pane="bottomRight" activeCell="J4" sqref="J4:K4"/>
      <selection pane="bottomLeft" activeCell="A6" sqref="A6"/>
      <selection pane="topRight" activeCell="B1" sqref="B1"/>
    </sheetView>
  </sheetViews>
  <sheetFormatPr defaultColWidth="11.42578125" defaultRowHeight="12.75"/>
  <cols>
    <col min="1" max="1" width="23.140625" customWidth="1"/>
    <col min="2" max="2" width="29.140625" customWidth="1"/>
    <col min="3" max="8" width="11.85546875" style="3" customWidth="1"/>
    <col min="9" max="9" width="15.5703125" style="22" bestFit="1" customWidth="1"/>
    <col min="10" max="15" width="11.85546875" style="3" customWidth="1"/>
    <col min="16" max="16" width="16.5703125" style="22" bestFit="1" customWidth="1"/>
    <col min="17" max="22" width="11.85546875" style="3" customWidth="1"/>
    <col min="23" max="23" width="14.140625" style="3" bestFit="1" customWidth="1"/>
    <col min="24" max="29" width="11.85546875" style="3" customWidth="1"/>
    <col min="30" max="30" width="14.140625" style="3" bestFit="1" customWidth="1"/>
    <col min="31" max="31" width="15.5703125" bestFit="1" customWidth="1"/>
  </cols>
  <sheetData>
    <row r="1" spans="1:31" ht="20.25">
      <c r="A1" s="45"/>
      <c r="B1" s="44"/>
      <c r="C1" s="44"/>
      <c r="D1" s="44"/>
      <c r="E1" s="44"/>
      <c r="F1" s="44"/>
      <c r="I1" s="46"/>
    </row>
    <row r="3" spans="1:31" ht="18">
      <c r="C3" s="6" t="s">
        <v>87</v>
      </c>
    </row>
    <row r="4" spans="1:31" s="4" customFormat="1" ht="15">
      <c r="A4" s="96" t="s">
        <v>88</v>
      </c>
      <c r="B4" s="96"/>
      <c r="C4" s="96" t="s">
        <v>89</v>
      </c>
      <c r="D4" s="96"/>
      <c r="E4" s="97" t="s">
        <v>90</v>
      </c>
      <c r="F4" s="97"/>
      <c r="G4" s="96" t="s">
        <v>91</v>
      </c>
      <c r="H4" s="96"/>
      <c r="I4" s="23" t="s">
        <v>68</v>
      </c>
      <c r="J4" s="97" t="s">
        <v>92</v>
      </c>
      <c r="K4" s="97"/>
      <c r="L4" s="96" t="s">
        <v>93</v>
      </c>
      <c r="M4" s="96"/>
      <c r="N4" s="97" t="s">
        <v>94</v>
      </c>
      <c r="O4" s="97"/>
      <c r="P4" s="23" t="s">
        <v>69</v>
      </c>
      <c r="Q4" s="96" t="s">
        <v>95</v>
      </c>
      <c r="R4" s="96"/>
      <c r="S4" s="97" t="s">
        <v>96</v>
      </c>
      <c r="T4" s="97"/>
      <c r="U4" s="96" t="s">
        <v>97</v>
      </c>
      <c r="V4" s="96"/>
      <c r="W4" s="70" t="s">
        <v>70</v>
      </c>
      <c r="X4" s="97" t="s">
        <v>98</v>
      </c>
      <c r="Y4" s="97"/>
      <c r="Z4" s="96" t="s">
        <v>99</v>
      </c>
      <c r="AA4" s="96"/>
      <c r="AB4" s="97" t="s">
        <v>100</v>
      </c>
      <c r="AC4" s="97"/>
      <c r="AD4" s="70" t="s">
        <v>71</v>
      </c>
      <c r="AE4" s="70" t="s">
        <v>82</v>
      </c>
    </row>
    <row r="5" spans="1:31" s="4" customFormat="1" ht="17.25">
      <c r="A5" s="32" t="s">
        <v>101</v>
      </c>
      <c r="B5" s="41" t="s">
        <v>102</v>
      </c>
      <c r="C5" s="33" t="s">
        <v>103</v>
      </c>
      <c r="D5" s="33" t="s">
        <v>104</v>
      </c>
      <c r="E5" s="33" t="s">
        <v>103</v>
      </c>
      <c r="F5" s="33" t="s">
        <v>104</v>
      </c>
      <c r="G5" s="33" t="s">
        <v>103</v>
      </c>
      <c r="H5" s="33" t="s">
        <v>104</v>
      </c>
      <c r="I5" s="34" t="s">
        <v>104</v>
      </c>
      <c r="J5" s="33" t="s">
        <v>103</v>
      </c>
      <c r="K5" s="33" t="s">
        <v>104</v>
      </c>
      <c r="L5" s="33" t="s">
        <v>103</v>
      </c>
      <c r="M5" s="33" t="s">
        <v>104</v>
      </c>
      <c r="N5" s="33" t="s">
        <v>103</v>
      </c>
      <c r="O5" s="33" t="s">
        <v>104</v>
      </c>
      <c r="P5" s="34" t="s">
        <v>104</v>
      </c>
      <c r="Q5" s="33" t="s">
        <v>103</v>
      </c>
      <c r="R5" s="33" t="s">
        <v>104</v>
      </c>
      <c r="S5" s="33" t="s">
        <v>103</v>
      </c>
      <c r="T5" s="33" t="s">
        <v>104</v>
      </c>
      <c r="U5" s="33" t="s">
        <v>103</v>
      </c>
      <c r="V5" s="33" t="s">
        <v>104</v>
      </c>
      <c r="W5" s="33" t="s">
        <v>104</v>
      </c>
      <c r="X5" s="33" t="s">
        <v>103</v>
      </c>
      <c r="Y5" s="33" t="s">
        <v>104</v>
      </c>
      <c r="Z5" s="33" t="s">
        <v>103</v>
      </c>
      <c r="AA5" s="33" t="s">
        <v>104</v>
      </c>
      <c r="AB5" s="33" t="s">
        <v>103</v>
      </c>
      <c r="AC5" s="33" t="s">
        <v>104</v>
      </c>
      <c r="AD5" s="33" t="s">
        <v>104</v>
      </c>
      <c r="AE5" s="35"/>
    </row>
    <row r="6" spans="1:31">
      <c r="A6" s="24" t="s">
        <v>105</v>
      </c>
      <c r="B6" s="42"/>
      <c r="C6" s="25"/>
      <c r="D6" s="26"/>
      <c r="E6" s="25">
        <v>20000</v>
      </c>
      <c r="F6" s="26">
        <v>0.32</v>
      </c>
      <c r="G6" s="25"/>
      <c r="H6" s="26"/>
      <c r="I6" s="27">
        <f>(C6*D6)+(E6*F6)+(G6*H6)</f>
        <v>6400</v>
      </c>
      <c r="J6" s="25"/>
      <c r="K6" s="26">
        <v>0.32</v>
      </c>
      <c r="L6" s="25"/>
      <c r="M6" s="26"/>
      <c r="N6" s="25">
        <v>2000</v>
      </c>
      <c r="O6" s="26">
        <v>0.32</v>
      </c>
      <c r="P6" s="28">
        <f>(J6*K6)+(L6*M6)+(N6*O6)</f>
        <v>640</v>
      </c>
      <c r="Q6" s="25"/>
      <c r="R6" s="26"/>
      <c r="S6" s="25">
        <v>2000</v>
      </c>
      <c r="T6" s="26">
        <v>0.32</v>
      </c>
      <c r="U6" s="25"/>
      <c r="V6" s="26"/>
      <c r="W6" s="29">
        <f t="shared" ref="W6:W71" si="0">(Q6*R6)+(S6*T6)+(U6*V6)</f>
        <v>640</v>
      </c>
      <c r="X6" s="25">
        <v>2000</v>
      </c>
      <c r="Y6" s="26">
        <v>0.32</v>
      </c>
      <c r="Z6" s="25"/>
      <c r="AA6" s="26"/>
      <c r="AB6" s="25">
        <v>2000</v>
      </c>
      <c r="AC6" s="26">
        <v>0.32</v>
      </c>
      <c r="AD6" s="30">
        <f>(X6*Y6)+(Z6*AA6)+(AB6*AC6)</f>
        <v>1280</v>
      </c>
      <c r="AE6" s="31">
        <f>AD6+W6+P6+I6</f>
        <v>8960</v>
      </c>
    </row>
    <row r="7" spans="1:31">
      <c r="A7" s="36" t="s">
        <v>106</v>
      </c>
      <c r="B7" s="43"/>
      <c r="C7" s="37"/>
      <c r="D7" s="38"/>
      <c r="E7" s="37">
        <v>1000</v>
      </c>
      <c r="F7" s="38">
        <v>0.32</v>
      </c>
      <c r="G7" s="37"/>
      <c r="H7" s="38"/>
      <c r="I7" s="39">
        <f t="shared" ref="I7:I71" si="1">(C7*D7)+(E7*F7)+(G7*H7)</f>
        <v>320</v>
      </c>
      <c r="J7" s="37"/>
      <c r="K7" s="38">
        <v>0.32</v>
      </c>
      <c r="L7" s="37"/>
      <c r="M7" s="38"/>
      <c r="N7" s="37">
        <v>200</v>
      </c>
      <c r="O7" s="38">
        <v>0.32</v>
      </c>
      <c r="P7" s="39">
        <f t="shared" ref="P7:P72" si="2">(J7*K7)+(L7*M7)+(N7*O7)</f>
        <v>64</v>
      </c>
      <c r="Q7" s="37"/>
      <c r="R7" s="38"/>
      <c r="S7" s="37">
        <v>200</v>
      </c>
      <c r="T7" s="38">
        <v>0.32</v>
      </c>
      <c r="U7" s="37"/>
      <c r="V7" s="38"/>
      <c r="W7" s="39">
        <f t="shared" si="0"/>
        <v>64</v>
      </c>
      <c r="X7" s="37">
        <v>200</v>
      </c>
      <c r="Y7" s="38">
        <v>0.32</v>
      </c>
      <c r="Z7" s="37"/>
      <c r="AA7" s="38"/>
      <c r="AB7" s="37">
        <v>200</v>
      </c>
      <c r="AC7" s="38">
        <v>0.32</v>
      </c>
      <c r="AD7" s="39">
        <f t="shared" ref="AD7:AD71" si="3">(X7*Y7)+(Z7*AA7)+(AB7*AC7)</f>
        <v>128</v>
      </c>
      <c r="AE7" s="40">
        <f t="shared" ref="AE7:AE71" si="4">AD7+W7+P7+I7</f>
        <v>576</v>
      </c>
    </row>
    <row r="8" spans="1:31">
      <c r="A8" s="24" t="s">
        <v>107</v>
      </c>
      <c r="B8" s="42"/>
      <c r="C8" s="25"/>
      <c r="D8" s="26"/>
      <c r="E8" s="25"/>
      <c r="F8" s="26"/>
      <c r="G8" s="25"/>
      <c r="H8" s="26"/>
      <c r="I8" s="27">
        <f t="shared" si="1"/>
        <v>0</v>
      </c>
      <c r="J8" s="25"/>
      <c r="K8" s="26"/>
      <c r="L8" s="25"/>
      <c r="M8" s="26"/>
      <c r="N8" s="25"/>
      <c r="O8" s="26"/>
      <c r="P8" s="28">
        <f t="shared" si="2"/>
        <v>0</v>
      </c>
      <c r="Q8" s="25"/>
      <c r="R8" s="26"/>
      <c r="S8" s="25"/>
      <c r="T8" s="26"/>
      <c r="U8" s="25"/>
      <c r="V8" s="26"/>
      <c r="W8" s="29">
        <f t="shared" si="0"/>
        <v>0</v>
      </c>
      <c r="X8" s="25"/>
      <c r="Y8" s="26"/>
      <c r="Z8" s="25"/>
      <c r="AA8" s="26"/>
      <c r="AB8" s="25"/>
      <c r="AC8" s="26"/>
      <c r="AD8" s="30">
        <f t="shared" si="3"/>
        <v>0</v>
      </c>
      <c r="AE8" s="31">
        <f t="shared" si="4"/>
        <v>0</v>
      </c>
    </row>
    <row r="9" spans="1:31">
      <c r="A9" s="36" t="s">
        <v>108</v>
      </c>
      <c r="B9" s="43"/>
      <c r="C9" s="37"/>
      <c r="D9" s="38"/>
      <c r="E9" s="37"/>
      <c r="F9" s="38"/>
      <c r="G9" s="37"/>
      <c r="H9" s="38"/>
      <c r="I9" s="39">
        <f t="shared" si="1"/>
        <v>0</v>
      </c>
      <c r="J9" s="37"/>
      <c r="K9" s="38"/>
      <c r="L9" s="37"/>
      <c r="M9" s="38"/>
      <c r="N9" s="37"/>
      <c r="O9" s="38"/>
      <c r="P9" s="39">
        <f t="shared" si="2"/>
        <v>0</v>
      </c>
      <c r="Q9" s="37"/>
      <c r="R9" s="38"/>
      <c r="S9" s="37"/>
      <c r="T9" s="38"/>
      <c r="U9" s="37"/>
      <c r="V9" s="38"/>
      <c r="W9" s="39">
        <f t="shared" si="0"/>
        <v>0</v>
      </c>
      <c r="X9" s="37"/>
      <c r="Y9" s="38"/>
      <c r="Z9" s="37"/>
      <c r="AA9" s="38"/>
      <c r="AB9" s="37"/>
      <c r="AC9" s="38"/>
      <c r="AD9" s="39">
        <f t="shared" si="3"/>
        <v>0</v>
      </c>
      <c r="AE9" s="40">
        <f t="shared" si="4"/>
        <v>0</v>
      </c>
    </row>
    <row r="10" spans="1:31">
      <c r="A10" s="24" t="s">
        <v>109</v>
      </c>
      <c r="B10" s="42"/>
      <c r="C10" s="25"/>
      <c r="D10" s="26"/>
      <c r="E10" s="25">
        <v>500</v>
      </c>
      <c r="F10" s="26">
        <v>2.25</v>
      </c>
      <c r="G10" s="25"/>
      <c r="H10" s="26"/>
      <c r="I10" s="27">
        <f t="shared" si="1"/>
        <v>1125</v>
      </c>
      <c r="J10" s="25">
        <v>50</v>
      </c>
      <c r="K10" s="26">
        <v>2.25</v>
      </c>
      <c r="L10" s="25"/>
      <c r="M10" s="26"/>
      <c r="N10" s="25">
        <v>50</v>
      </c>
      <c r="O10" s="26">
        <v>2.25</v>
      </c>
      <c r="P10" s="28">
        <f t="shared" si="2"/>
        <v>225</v>
      </c>
      <c r="Q10" s="25"/>
      <c r="R10" s="26"/>
      <c r="S10" s="25">
        <v>50</v>
      </c>
      <c r="T10" s="26">
        <v>2.25</v>
      </c>
      <c r="U10" s="25"/>
      <c r="V10" s="26"/>
      <c r="W10" s="29">
        <f t="shared" si="0"/>
        <v>112.5</v>
      </c>
      <c r="X10" s="25">
        <v>50</v>
      </c>
      <c r="Y10" s="26">
        <v>2.25</v>
      </c>
      <c r="Z10" s="25"/>
      <c r="AA10" s="26"/>
      <c r="AB10" s="25">
        <v>50</v>
      </c>
      <c r="AC10" s="26">
        <v>2.25</v>
      </c>
      <c r="AD10" s="30">
        <f t="shared" si="3"/>
        <v>225</v>
      </c>
      <c r="AE10" s="31">
        <f t="shared" si="4"/>
        <v>1687.5</v>
      </c>
    </row>
    <row r="11" spans="1:31">
      <c r="A11" s="24" t="s">
        <v>110</v>
      </c>
      <c r="B11" s="42"/>
      <c r="C11" s="25"/>
      <c r="D11" s="26"/>
      <c r="E11" s="25"/>
      <c r="F11" s="26"/>
      <c r="G11" s="25"/>
      <c r="H11" s="26"/>
      <c r="I11" s="27">
        <f t="shared" si="1"/>
        <v>0</v>
      </c>
      <c r="J11" s="25"/>
      <c r="K11" s="26"/>
      <c r="L11" s="25"/>
      <c r="M11" s="26"/>
      <c r="N11" s="25"/>
      <c r="O11" s="26"/>
      <c r="P11" s="28">
        <f t="shared" si="2"/>
        <v>0</v>
      </c>
      <c r="Q11" s="25"/>
      <c r="R11" s="26"/>
      <c r="S11" s="25"/>
      <c r="T11" s="26"/>
      <c r="U11" s="25"/>
      <c r="V11" s="26"/>
      <c r="W11" s="29">
        <f t="shared" si="0"/>
        <v>0</v>
      </c>
      <c r="X11" s="25"/>
      <c r="Y11" s="26"/>
      <c r="Z11" s="25"/>
      <c r="AA11" s="26"/>
      <c r="AB11" s="25"/>
      <c r="AC11" s="26"/>
      <c r="AD11" s="30">
        <f t="shared" si="3"/>
        <v>0</v>
      </c>
      <c r="AE11" s="31">
        <f t="shared" si="4"/>
        <v>0</v>
      </c>
    </row>
    <row r="12" spans="1:31">
      <c r="A12" s="36" t="s">
        <v>111</v>
      </c>
      <c r="B12" s="43"/>
      <c r="C12" s="37"/>
      <c r="D12" s="38"/>
      <c r="E12" s="37"/>
      <c r="F12" s="38"/>
      <c r="G12" s="37"/>
      <c r="H12" s="38"/>
      <c r="I12" s="39">
        <f t="shared" si="1"/>
        <v>0</v>
      </c>
      <c r="J12" s="37"/>
      <c r="K12" s="38">
        <v>2.25</v>
      </c>
      <c r="L12" s="37"/>
      <c r="M12" s="38"/>
      <c r="N12" s="37">
        <v>200</v>
      </c>
      <c r="O12" s="38">
        <v>2.25</v>
      </c>
      <c r="P12" s="39">
        <f t="shared" si="2"/>
        <v>450</v>
      </c>
      <c r="Q12" s="37"/>
      <c r="R12" s="38"/>
      <c r="S12" s="37">
        <v>200</v>
      </c>
      <c r="T12" s="38">
        <v>2.25</v>
      </c>
      <c r="U12" s="37"/>
      <c r="V12" s="38"/>
      <c r="W12" s="39">
        <f t="shared" si="0"/>
        <v>450</v>
      </c>
      <c r="X12" s="37">
        <v>200</v>
      </c>
      <c r="Y12" s="38">
        <v>2.25</v>
      </c>
      <c r="Z12" s="37"/>
      <c r="AA12" s="38"/>
      <c r="AB12" s="37">
        <v>200</v>
      </c>
      <c r="AC12" s="38">
        <v>2.25</v>
      </c>
      <c r="AD12" s="39">
        <f t="shared" si="3"/>
        <v>900</v>
      </c>
      <c r="AE12" s="40">
        <f t="shared" si="4"/>
        <v>1800</v>
      </c>
    </row>
    <row r="13" spans="1:31">
      <c r="A13" s="24" t="s">
        <v>112</v>
      </c>
      <c r="B13" s="42"/>
      <c r="C13" s="25"/>
      <c r="D13" s="26"/>
      <c r="E13" s="25">
        <v>5</v>
      </c>
      <c r="F13" s="26">
        <v>100</v>
      </c>
      <c r="G13" s="25"/>
      <c r="H13" s="26"/>
      <c r="I13" s="27">
        <f t="shared" si="1"/>
        <v>500</v>
      </c>
      <c r="J13" s="25">
        <v>10</v>
      </c>
      <c r="K13" s="26">
        <v>90</v>
      </c>
      <c r="L13" s="25"/>
      <c r="M13" s="26"/>
      <c r="N13" s="25"/>
      <c r="O13" s="26"/>
      <c r="P13" s="28">
        <f t="shared" si="2"/>
        <v>900</v>
      </c>
      <c r="Q13" s="25"/>
      <c r="R13" s="26"/>
      <c r="S13" s="25"/>
      <c r="T13" s="26"/>
      <c r="U13" s="25"/>
      <c r="V13" s="26"/>
      <c r="W13" s="29">
        <f t="shared" si="0"/>
        <v>0</v>
      </c>
      <c r="X13" s="25"/>
      <c r="Y13" s="26"/>
      <c r="Z13" s="25"/>
      <c r="AA13" s="26"/>
      <c r="AB13" s="25">
        <v>20</v>
      </c>
      <c r="AC13" s="26">
        <v>90</v>
      </c>
      <c r="AD13" s="30">
        <f t="shared" si="3"/>
        <v>1800</v>
      </c>
      <c r="AE13" s="31">
        <f t="shared" si="4"/>
        <v>3200</v>
      </c>
    </row>
    <row r="14" spans="1:31">
      <c r="A14" s="36" t="s">
        <v>113</v>
      </c>
      <c r="B14" s="43"/>
      <c r="C14" s="37"/>
      <c r="D14" s="38"/>
      <c r="E14" s="37"/>
      <c r="F14" s="38"/>
      <c r="G14" s="37"/>
      <c r="H14" s="38"/>
      <c r="I14" s="39">
        <f>(C14*D14)+(E14*F14)+(G14*H14)</f>
        <v>0</v>
      </c>
      <c r="J14" s="37">
        <v>20</v>
      </c>
      <c r="K14" s="38">
        <v>90</v>
      </c>
      <c r="L14" s="37"/>
      <c r="M14" s="38"/>
      <c r="N14" s="37"/>
      <c r="O14" s="38"/>
      <c r="P14" s="39">
        <f>(J14*K14)+(L14*M14)+(N14*O14)</f>
        <v>1800</v>
      </c>
      <c r="Q14" s="37"/>
      <c r="R14" s="38"/>
      <c r="S14" s="25">
        <v>20</v>
      </c>
      <c r="T14" s="26">
        <v>90</v>
      </c>
      <c r="U14" s="37"/>
      <c r="V14" s="38"/>
      <c r="W14" s="39">
        <f>(Q14*R14)+(S14*T14)+(U14*V14)</f>
        <v>1800</v>
      </c>
      <c r="X14" s="37"/>
      <c r="Y14" s="38"/>
      <c r="Z14" s="37"/>
      <c r="AA14" s="38"/>
      <c r="AB14" s="37">
        <v>20</v>
      </c>
      <c r="AC14" s="38">
        <v>90</v>
      </c>
      <c r="AD14" s="39">
        <f>(X14*Y14)+(Z14*AA14)+(AB14*AC14)</f>
        <v>1800</v>
      </c>
      <c r="AE14" s="40">
        <f>AD14+W14+P14+I14</f>
        <v>5400</v>
      </c>
    </row>
    <row r="15" spans="1:31">
      <c r="A15" s="24" t="s">
        <v>114</v>
      </c>
      <c r="B15" s="42"/>
      <c r="C15" s="25"/>
      <c r="D15" s="26"/>
      <c r="E15" s="25"/>
      <c r="F15" s="26"/>
      <c r="G15" s="25"/>
      <c r="H15" s="26"/>
      <c r="I15" s="27">
        <f t="shared" si="1"/>
        <v>0</v>
      </c>
      <c r="J15" s="25"/>
      <c r="K15" s="26"/>
      <c r="L15" s="25"/>
      <c r="M15" s="26"/>
      <c r="N15" s="25">
        <v>50</v>
      </c>
      <c r="O15" s="26"/>
      <c r="P15" s="28">
        <f t="shared" si="2"/>
        <v>0</v>
      </c>
      <c r="Q15" s="25"/>
      <c r="R15" s="26"/>
      <c r="S15" s="37">
        <v>20</v>
      </c>
      <c r="T15" s="38">
        <v>90</v>
      </c>
      <c r="U15" s="25"/>
      <c r="V15" s="26"/>
      <c r="W15" s="29">
        <f t="shared" si="0"/>
        <v>1800</v>
      </c>
      <c r="X15" s="25"/>
      <c r="Y15" s="26"/>
      <c r="Z15" s="25"/>
      <c r="AA15" s="26"/>
      <c r="AB15" s="25"/>
      <c r="AC15" s="26"/>
      <c r="AD15" s="30">
        <f t="shared" si="3"/>
        <v>0</v>
      </c>
      <c r="AE15" s="31">
        <f t="shared" si="4"/>
        <v>1800</v>
      </c>
    </row>
    <row r="16" spans="1:31">
      <c r="A16" s="36" t="s">
        <v>115</v>
      </c>
      <c r="B16" s="43"/>
      <c r="C16" s="37"/>
      <c r="D16" s="38"/>
      <c r="E16" s="37"/>
      <c r="F16" s="38">
        <v>18</v>
      </c>
      <c r="G16" s="37"/>
      <c r="H16" s="38"/>
      <c r="I16" s="39">
        <f t="shared" si="1"/>
        <v>0</v>
      </c>
      <c r="J16" s="37"/>
      <c r="K16" s="38"/>
      <c r="L16" s="37"/>
      <c r="M16" s="38"/>
      <c r="N16" s="37">
        <v>12</v>
      </c>
      <c r="O16" s="38">
        <v>18</v>
      </c>
      <c r="P16" s="39">
        <f t="shared" si="2"/>
        <v>216</v>
      </c>
      <c r="Q16" s="37"/>
      <c r="R16" s="38"/>
      <c r="S16" s="37"/>
      <c r="T16" s="38"/>
      <c r="U16" s="37"/>
      <c r="V16" s="38"/>
      <c r="W16" s="39">
        <f t="shared" si="0"/>
        <v>0</v>
      </c>
      <c r="X16" s="37">
        <v>12</v>
      </c>
      <c r="Y16" s="38">
        <v>18</v>
      </c>
      <c r="Z16" s="37"/>
      <c r="AA16" s="38"/>
      <c r="AB16" s="37"/>
      <c r="AC16" s="38"/>
      <c r="AD16" s="39">
        <f t="shared" si="3"/>
        <v>216</v>
      </c>
      <c r="AE16" s="40">
        <f t="shared" si="4"/>
        <v>432</v>
      </c>
    </row>
    <row r="17" spans="1:31">
      <c r="A17" s="24" t="s">
        <v>116</v>
      </c>
      <c r="B17" s="42"/>
      <c r="C17" s="25"/>
      <c r="D17" s="26"/>
      <c r="E17" s="37">
        <v>50</v>
      </c>
      <c r="F17" s="38">
        <v>18</v>
      </c>
      <c r="G17" s="25"/>
      <c r="H17" s="26"/>
      <c r="I17" s="27">
        <f t="shared" si="1"/>
        <v>900</v>
      </c>
      <c r="J17" s="25"/>
      <c r="K17" s="26"/>
      <c r="L17" s="25"/>
      <c r="M17" s="26"/>
      <c r="N17" s="37">
        <v>12</v>
      </c>
      <c r="O17" s="38">
        <v>18</v>
      </c>
      <c r="P17" s="28">
        <f t="shared" si="2"/>
        <v>216</v>
      </c>
      <c r="Q17" s="25"/>
      <c r="R17" s="26"/>
      <c r="S17" s="25"/>
      <c r="T17" s="26"/>
      <c r="U17" s="25"/>
      <c r="V17" s="26"/>
      <c r="W17" s="29">
        <f t="shared" si="0"/>
        <v>0</v>
      </c>
      <c r="X17" s="37">
        <v>12</v>
      </c>
      <c r="Y17" s="38">
        <v>18</v>
      </c>
      <c r="Z17" s="25"/>
      <c r="AA17" s="26"/>
      <c r="AB17" s="25"/>
      <c r="AC17" s="26"/>
      <c r="AD17" s="30">
        <f t="shared" si="3"/>
        <v>216</v>
      </c>
      <c r="AE17" s="31">
        <f t="shared" si="4"/>
        <v>1332</v>
      </c>
    </row>
    <row r="18" spans="1:31">
      <c r="A18" s="36" t="s">
        <v>117</v>
      </c>
      <c r="B18" s="43"/>
      <c r="C18" s="37"/>
      <c r="D18" s="38"/>
      <c r="E18" s="37"/>
      <c r="F18" s="38">
        <v>18</v>
      </c>
      <c r="G18" s="37"/>
      <c r="H18" s="38"/>
      <c r="I18" s="39">
        <f t="shared" si="1"/>
        <v>0</v>
      </c>
      <c r="J18" s="37"/>
      <c r="K18" s="38"/>
      <c r="L18" s="37"/>
      <c r="M18" s="38"/>
      <c r="N18" s="37">
        <v>12</v>
      </c>
      <c r="O18" s="38">
        <v>18</v>
      </c>
      <c r="P18" s="39">
        <f t="shared" si="2"/>
        <v>216</v>
      </c>
      <c r="Q18" s="37"/>
      <c r="R18" s="38"/>
      <c r="S18" s="37"/>
      <c r="T18" s="38"/>
      <c r="U18" s="37"/>
      <c r="V18" s="38"/>
      <c r="W18" s="39">
        <f t="shared" si="0"/>
        <v>0</v>
      </c>
      <c r="X18" s="37">
        <v>12</v>
      </c>
      <c r="Y18" s="38">
        <v>18</v>
      </c>
      <c r="Z18" s="37"/>
      <c r="AA18" s="38"/>
      <c r="AB18" s="37"/>
      <c r="AC18" s="38"/>
      <c r="AD18" s="39">
        <f t="shared" si="3"/>
        <v>216</v>
      </c>
      <c r="AE18" s="40">
        <f t="shared" si="4"/>
        <v>432</v>
      </c>
    </row>
    <row r="19" spans="1:31" ht="13.7" customHeight="1">
      <c r="A19" s="24" t="s">
        <v>118</v>
      </c>
      <c r="B19" s="42"/>
      <c r="C19" s="25"/>
      <c r="D19" s="26"/>
      <c r="E19" s="37"/>
      <c r="F19" s="38">
        <v>18</v>
      </c>
      <c r="G19" s="25"/>
      <c r="H19" s="26"/>
      <c r="I19" s="27">
        <f t="shared" si="1"/>
        <v>0</v>
      </c>
      <c r="J19" s="25"/>
      <c r="K19" s="26"/>
      <c r="L19" s="25"/>
      <c r="M19" s="26"/>
      <c r="N19" s="37">
        <v>12</v>
      </c>
      <c r="O19" s="38">
        <v>18</v>
      </c>
      <c r="P19" s="28">
        <f t="shared" si="2"/>
        <v>216</v>
      </c>
      <c r="Q19" s="25"/>
      <c r="R19" s="26"/>
      <c r="S19" s="25"/>
      <c r="T19" s="26"/>
      <c r="U19" s="25"/>
      <c r="V19" s="26"/>
      <c r="W19" s="29">
        <f t="shared" si="0"/>
        <v>0</v>
      </c>
      <c r="X19" s="37">
        <v>12</v>
      </c>
      <c r="Y19" s="38">
        <v>18</v>
      </c>
      <c r="Z19" s="25"/>
      <c r="AA19" s="26"/>
      <c r="AB19" s="25"/>
      <c r="AC19" s="26"/>
      <c r="AD19" s="30">
        <f t="shared" si="3"/>
        <v>216</v>
      </c>
      <c r="AE19" s="31">
        <f t="shared" si="4"/>
        <v>432</v>
      </c>
    </row>
    <row r="20" spans="1:31">
      <c r="A20" s="36" t="s">
        <v>119</v>
      </c>
      <c r="B20" s="43"/>
      <c r="C20" s="37"/>
      <c r="D20" s="38"/>
      <c r="E20" s="37"/>
      <c r="F20" s="38">
        <v>18</v>
      </c>
      <c r="G20" s="37"/>
      <c r="H20" s="38"/>
      <c r="I20" s="39">
        <f t="shared" si="1"/>
        <v>0</v>
      </c>
      <c r="J20" s="37"/>
      <c r="K20" s="38"/>
      <c r="L20" s="37"/>
      <c r="M20" s="38"/>
      <c r="N20" s="37">
        <v>12</v>
      </c>
      <c r="O20" s="38">
        <v>18</v>
      </c>
      <c r="P20" s="39">
        <f t="shared" si="2"/>
        <v>216</v>
      </c>
      <c r="Q20" s="37"/>
      <c r="R20" s="38"/>
      <c r="S20" s="37"/>
      <c r="T20" s="38"/>
      <c r="U20" s="37"/>
      <c r="V20" s="38"/>
      <c r="W20" s="39">
        <f t="shared" si="0"/>
        <v>0</v>
      </c>
      <c r="X20" s="37">
        <v>12</v>
      </c>
      <c r="Y20" s="38">
        <v>18</v>
      </c>
      <c r="Z20" s="37"/>
      <c r="AA20" s="38"/>
      <c r="AB20" s="37"/>
      <c r="AC20" s="38"/>
      <c r="AD20" s="39">
        <f t="shared" si="3"/>
        <v>216</v>
      </c>
      <c r="AE20" s="40">
        <f t="shared" si="4"/>
        <v>432</v>
      </c>
    </row>
    <row r="21" spans="1:31">
      <c r="A21" s="24" t="s">
        <v>120</v>
      </c>
      <c r="B21" s="42"/>
      <c r="C21" s="25"/>
      <c r="D21" s="26"/>
      <c r="E21" s="37"/>
      <c r="F21" s="38">
        <v>18</v>
      </c>
      <c r="G21" s="25"/>
      <c r="H21" s="26"/>
      <c r="I21" s="27">
        <f t="shared" si="1"/>
        <v>0</v>
      </c>
      <c r="J21" s="25"/>
      <c r="K21" s="26"/>
      <c r="L21" s="25"/>
      <c r="M21" s="26"/>
      <c r="N21" s="37">
        <v>12</v>
      </c>
      <c r="O21" s="38">
        <v>18</v>
      </c>
      <c r="P21" s="28">
        <f t="shared" si="2"/>
        <v>216</v>
      </c>
      <c r="Q21" s="25"/>
      <c r="R21" s="26"/>
      <c r="S21" s="25"/>
      <c r="T21" s="26"/>
      <c r="U21" s="25"/>
      <c r="V21" s="26"/>
      <c r="W21" s="29">
        <f t="shared" si="0"/>
        <v>0</v>
      </c>
      <c r="X21" s="37">
        <v>12</v>
      </c>
      <c r="Y21" s="38">
        <v>18</v>
      </c>
      <c r="Z21" s="25"/>
      <c r="AA21" s="26"/>
      <c r="AB21" s="25"/>
      <c r="AC21" s="26"/>
      <c r="AD21" s="30">
        <f t="shared" si="3"/>
        <v>216</v>
      </c>
      <c r="AE21" s="31">
        <f t="shared" si="4"/>
        <v>432</v>
      </c>
    </row>
    <row r="22" spans="1:31">
      <c r="A22" s="36" t="s">
        <v>121</v>
      </c>
      <c r="B22" s="43"/>
      <c r="C22" s="37"/>
      <c r="D22" s="38"/>
      <c r="E22" s="37"/>
      <c r="F22" s="38">
        <v>18</v>
      </c>
      <c r="G22" s="37"/>
      <c r="H22" s="38"/>
      <c r="I22" s="39">
        <f t="shared" si="1"/>
        <v>0</v>
      </c>
      <c r="J22" s="37"/>
      <c r="K22" s="38"/>
      <c r="L22" s="37"/>
      <c r="M22" s="38"/>
      <c r="N22" s="37">
        <v>12</v>
      </c>
      <c r="O22" s="38">
        <v>18</v>
      </c>
      <c r="P22" s="39">
        <f t="shared" si="2"/>
        <v>216</v>
      </c>
      <c r="Q22" s="37"/>
      <c r="R22" s="38"/>
      <c r="S22" s="37"/>
      <c r="T22" s="38"/>
      <c r="U22" s="37"/>
      <c r="V22" s="38"/>
      <c r="W22" s="39">
        <f t="shared" si="0"/>
        <v>0</v>
      </c>
      <c r="X22" s="37">
        <v>12</v>
      </c>
      <c r="Y22" s="38">
        <v>18</v>
      </c>
      <c r="Z22" s="37"/>
      <c r="AA22" s="38"/>
      <c r="AB22" s="37"/>
      <c r="AC22" s="38"/>
      <c r="AD22" s="39">
        <f t="shared" si="3"/>
        <v>216</v>
      </c>
      <c r="AE22" s="40">
        <f t="shared" si="4"/>
        <v>432</v>
      </c>
    </row>
    <row r="23" spans="1:31">
      <c r="A23" s="24" t="s">
        <v>122</v>
      </c>
      <c r="B23" s="42"/>
      <c r="C23" s="25"/>
      <c r="D23" s="26"/>
      <c r="E23" s="37"/>
      <c r="F23" s="38">
        <v>18</v>
      </c>
      <c r="G23" s="25"/>
      <c r="H23" s="26"/>
      <c r="I23" s="27">
        <f t="shared" si="1"/>
        <v>0</v>
      </c>
      <c r="J23" s="25"/>
      <c r="K23" s="26"/>
      <c r="L23" s="25"/>
      <c r="M23" s="26"/>
      <c r="N23" s="37">
        <v>12</v>
      </c>
      <c r="O23" s="38">
        <v>18</v>
      </c>
      <c r="P23" s="28">
        <f t="shared" si="2"/>
        <v>216</v>
      </c>
      <c r="Q23" s="25"/>
      <c r="R23" s="26"/>
      <c r="S23" s="25"/>
      <c r="T23" s="26"/>
      <c r="U23" s="25"/>
      <c r="V23" s="26"/>
      <c r="W23" s="29">
        <f t="shared" si="0"/>
        <v>0</v>
      </c>
      <c r="X23" s="37">
        <v>12</v>
      </c>
      <c r="Y23" s="38">
        <v>18</v>
      </c>
      <c r="Z23" s="25"/>
      <c r="AA23" s="26"/>
      <c r="AB23" s="25"/>
      <c r="AC23" s="26"/>
      <c r="AD23" s="30">
        <f t="shared" si="3"/>
        <v>216</v>
      </c>
      <c r="AE23" s="31">
        <f t="shared" si="4"/>
        <v>432</v>
      </c>
    </row>
    <row r="24" spans="1:31">
      <c r="A24" s="36" t="s">
        <v>123</v>
      </c>
      <c r="B24" s="43"/>
      <c r="C24" s="37"/>
      <c r="D24" s="38"/>
      <c r="E24" s="37"/>
      <c r="F24" s="38">
        <v>18</v>
      </c>
      <c r="G24" s="37"/>
      <c r="H24" s="38"/>
      <c r="I24" s="39">
        <f t="shared" si="1"/>
        <v>0</v>
      </c>
      <c r="J24" s="37"/>
      <c r="K24" s="38"/>
      <c r="L24" s="37"/>
      <c r="M24" s="38"/>
      <c r="N24" s="37">
        <v>12</v>
      </c>
      <c r="O24" s="38">
        <v>18</v>
      </c>
      <c r="P24" s="39">
        <f t="shared" si="2"/>
        <v>216</v>
      </c>
      <c r="Q24" s="37"/>
      <c r="R24" s="38"/>
      <c r="S24" s="37"/>
      <c r="T24" s="38"/>
      <c r="U24" s="37"/>
      <c r="V24" s="38"/>
      <c r="W24" s="39">
        <f t="shared" si="0"/>
        <v>0</v>
      </c>
      <c r="X24" s="37">
        <v>12</v>
      </c>
      <c r="Y24" s="38">
        <v>18</v>
      </c>
      <c r="Z24" s="37"/>
      <c r="AA24" s="38"/>
      <c r="AB24" s="37"/>
      <c r="AC24" s="38"/>
      <c r="AD24" s="39">
        <f t="shared" si="3"/>
        <v>216</v>
      </c>
      <c r="AE24" s="40">
        <f t="shared" si="4"/>
        <v>432</v>
      </c>
    </row>
    <row r="25" spans="1:31">
      <c r="A25" s="24" t="s">
        <v>124</v>
      </c>
      <c r="B25" s="42"/>
      <c r="C25" s="25"/>
      <c r="D25" s="26"/>
      <c r="E25" s="37">
        <v>100</v>
      </c>
      <c r="F25" s="38">
        <v>18</v>
      </c>
      <c r="G25" s="25"/>
      <c r="H25" s="26"/>
      <c r="I25" s="27">
        <f t="shared" si="1"/>
        <v>1800</v>
      </c>
      <c r="J25" s="25"/>
      <c r="K25" s="26"/>
      <c r="L25" s="25"/>
      <c r="M25" s="26"/>
      <c r="N25" s="37">
        <v>12</v>
      </c>
      <c r="O25" s="38">
        <v>18</v>
      </c>
      <c r="P25" s="28">
        <f t="shared" si="2"/>
        <v>216</v>
      </c>
      <c r="Q25" s="25"/>
      <c r="R25" s="26"/>
      <c r="S25" s="25"/>
      <c r="T25" s="26"/>
      <c r="U25" s="25"/>
      <c r="V25" s="26"/>
      <c r="W25" s="29">
        <f t="shared" si="0"/>
        <v>0</v>
      </c>
      <c r="X25" s="37">
        <v>12</v>
      </c>
      <c r="Y25" s="38">
        <v>18</v>
      </c>
      <c r="Z25" s="25"/>
      <c r="AA25" s="26"/>
      <c r="AB25" s="25"/>
      <c r="AC25" s="26"/>
      <c r="AD25" s="30">
        <f t="shared" si="3"/>
        <v>216</v>
      </c>
      <c r="AE25" s="31">
        <f t="shared" si="4"/>
        <v>2232</v>
      </c>
    </row>
    <row r="26" spans="1:31">
      <c r="A26" s="36" t="s">
        <v>125</v>
      </c>
      <c r="B26" s="43"/>
      <c r="C26" s="37"/>
      <c r="D26" s="38"/>
      <c r="E26" s="37">
        <v>100</v>
      </c>
      <c r="F26" s="38">
        <v>18</v>
      </c>
      <c r="G26" s="37"/>
      <c r="H26" s="38"/>
      <c r="I26" s="39">
        <f t="shared" si="1"/>
        <v>1800</v>
      </c>
      <c r="J26" s="37"/>
      <c r="K26" s="38"/>
      <c r="L26" s="37"/>
      <c r="M26" s="38"/>
      <c r="N26" s="37">
        <v>12</v>
      </c>
      <c r="O26" s="38">
        <v>18</v>
      </c>
      <c r="P26" s="39">
        <f t="shared" si="2"/>
        <v>216</v>
      </c>
      <c r="Q26" s="37"/>
      <c r="R26" s="38"/>
      <c r="S26" s="37"/>
      <c r="T26" s="38"/>
      <c r="U26" s="37"/>
      <c r="V26" s="38"/>
      <c r="W26" s="39">
        <f t="shared" si="0"/>
        <v>0</v>
      </c>
      <c r="X26" s="37">
        <v>12</v>
      </c>
      <c r="Y26" s="38">
        <v>18</v>
      </c>
      <c r="Z26" s="37"/>
      <c r="AA26" s="38"/>
      <c r="AB26" s="37"/>
      <c r="AC26" s="38"/>
      <c r="AD26" s="39">
        <f t="shared" si="3"/>
        <v>216</v>
      </c>
      <c r="AE26" s="40">
        <f t="shared" si="4"/>
        <v>2232</v>
      </c>
    </row>
    <row r="27" spans="1:31">
      <c r="A27" s="24" t="s">
        <v>126</v>
      </c>
      <c r="B27" s="42"/>
      <c r="C27" s="25"/>
      <c r="D27" s="26"/>
      <c r="E27" s="37"/>
      <c r="F27" s="38">
        <v>18</v>
      </c>
      <c r="G27" s="25"/>
      <c r="H27" s="26"/>
      <c r="I27" s="27">
        <f t="shared" si="1"/>
        <v>0</v>
      </c>
      <c r="J27" s="25"/>
      <c r="K27" s="26"/>
      <c r="L27" s="25"/>
      <c r="M27" s="26"/>
      <c r="N27" s="37">
        <v>12</v>
      </c>
      <c r="O27" s="38">
        <v>18</v>
      </c>
      <c r="P27" s="28">
        <f t="shared" si="2"/>
        <v>216</v>
      </c>
      <c r="Q27" s="25"/>
      <c r="R27" s="26"/>
      <c r="S27" s="25"/>
      <c r="T27" s="26"/>
      <c r="U27" s="25"/>
      <c r="V27" s="26"/>
      <c r="W27" s="29">
        <f t="shared" si="0"/>
        <v>0</v>
      </c>
      <c r="X27" s="37">
        <v>12</v>
      </c>
      <c r="Y27" s="38">
        <v>18</v>
      </c>
      <c r="Z27" s="25"/>
      <c r="AA27" s="26"/>
      <c r="AB27" s="25"/>
      <c r="AC27" s="26"/>
      <c r="AD27" s="30">
        <f t="shared" si="3"/>
        <v>216</v>
      </c>
      <c r="AE27" s="31">
        <f t="shared" si="4"/>
        <v>432</v>
      </c>
    </row>
    <row r="28" spans="1:31">
      <c r="A28" s="36" t="s">
        <v>127</v>
      </c>
      <c r="B28" s="43"/>
      <c r="C28" s="37"/>
      <c r="D28" s="38"/>
      <c r="E28" s="37"/>
      <c r="F28" s="38">
        <v>18</v>
      </c>
      <c r="G28" s="37"/>
      <c r="H28" s="38"/>
      <c r="I28" s="39">
        <f t="shared" si="1"/>
        <v>0</v>
      </c>
      <c r="J28" s="37"/>
      <c r="K28" s="38"/>
      <c r="L28" s="37"/>
      <c r="M28" s="38"/>
      <c r="N28" s="37">
        <v>12</v>
      </c>
      <c r="O28" s="38">
        <v>18</v>
      </c>
      <c r="P28" s="39">
        <f t="shared" si="2"/>
        <v>216</v>
      </c>
      <c r="Q28" s="37"/>
      <c r="R28" s="38"/>
      <c r="S28" s="37"/>
      <c r="T28" s="38"/>
      <c r="U28" s="37"/>
      <c r="V28" s="38"/>
      <c r="W28" s="39">
        <f t="shared" si="0"/>
        <v>0</v>
      </c>
      <c r="X28" s="37">
        <v>12</v>
      </c>
      <c r="Y28" s="38">
        <v>18</v>
      </c>
      <c r="Z28" s="37"/>
      <c r="AA28" s="38"/>
      <c r="AB28" s="37"/>
      <c r="AC28" s="38"/>
      <c r="AD28" s="39">
        <f t="shared" si="3"/>
        <v>216</v>
      </c>
      <c r="AE28" s="40">
        <f t="shared" si="4"/>
        <v>432</v>
      </c>
    </row>
    <row r="29" spans="1:31">
      <c r="A29" s="24" t="s">
        <v>128</v>
      </c>
      <c r="B29" s="42"/>
      <c r="C29" s="25"/>
      <c r="D29" s="26"/>
      <c r="E29" s="25">
        <v>50</v>
      </c>
      <c r="F29" s="38">
        <v>18</v>
      </c>
      <c r="G29" s="25"/>
      <c r="H29" s="26"/>
      <c r="I29" s="27">
        <f t="shared" si="1"/>
        <v>900</v>
      </c>
      <c r="J29" s="25"/>
      <c r="K29" s="26"/>
      <c r="L29" s="25"/>
      <c r="M29" s="26"/>
      <c r="N29" s="25">
        <v>4</v>
      </c>
      <c r="O29" s="38">
        <v>18</v>
      </c>
      <c r="P29" s="28">
        <f t="shared" si="2"/>
        <v>72</v>
      </c>
      <c r="Q29" s="25"/>
      <c r="R29" s="26"/>
      <c r="S29" s="25"/>
      <c r="T29" s="26"/>
      <c r="U29" s="25"/>
      <c r="V29" s="26"/>
      <c r="W29" s="29">
        <f t="shared" si="0"/>
        <v>0</v>
      </c>
      <c r="X29" s="25">
        <v>6</v>
      </c>
      <c r="Y29" s="38">
        <v>18</v>
      </c>
      <c r="Z29" s="25"/>
      <c r="AA29" s="26"/>
      <c r="AB29" s="25"/>
      <c r="AC29" s="26"/>
      <c r="AD29" s="30">
        <f t="shared" si="3"/>
        <v>108</v>
      </c>
      <c r="AE29" s="31">
        <f t="shared" si="4"/>
        <v>1080</v>
      </c>
    </row>
    <row r="30" spans="1:31">
      <c r="A30" s="36" t="s">
        <v>129</v>
      </c>
      <c r="B30" s="43"/>
      <c r="C30" s="37"/>
      <c r="D30" s="38"/>
      <c r="E30" s="25"/>
      <c r="F30" s="38">
        <v>18</v>
      </c>
      <c r="G30" s="37"/>
      <c r="H30" s="38"/>
      <c r="I30" s="27">
        <f t="shared" si="1"/>
        <v>0</v>
      </c>
      <c r="J30" s="37"/>
      <c r="K30" s="38"/>
      <c r="L30" s="37"/>
      <c r="M30" s="38"/>
      <c r="N30" s="25">
        <v>4</v>
      </c>
      <c r="O30" s="38">
        <v>18</v>
      </c>
      <c r="P30" s="39">
        <f t="shared" si="2"/>
        <v>72</v>
      </c>
      <c r="Q30" s="37"/>
      <c r="R30" s="38"/>
      <c r="S30" s="37"/>
      <c r="T30" s="38"/>
      <c r="U30" s="37"/>
      <c r="V30" s="38"/>
      <c r="W30" s="29">
        <f t="shared" si="0"/>
        <v>0</v>
      </c>
      <c r="X30" s="25">
        <v>6</v>
      </c>
      <c r="Y30" s="38">
        <v>18</v>
      </c>
      <c r="Z30" s="37"/>
      <c r="AA30" s="38"/>
      <c r="AB30" s="37"/>
      <c r="AC30" s="38"/>
      <c r="AD30" s="30">
        <f t="shared" si="3"/>
        <v>108</v>
      </c>
      <c r="AE30" s="40">
        <f t="shared" si="4"/>
        <v>180</v>
      </c>
    </row>
    <row r="31" spans="1:31">
      <c r="A31" s="24" t="s">
        <v>130</v>
      </c>
      <c r="B31" s="42"/>
      <c r="C31" s="25"/>
      <c r="D31" s="26"/>
      <c r="E31" s="25"/>
      <c r="F31" s="38">
        <v>18</v>
      </c>
      <c r="G31" s="25"/>
      <c r="H31" s="26"/>
      <c r="I31" s="27">
        <f t="shared" si="1"/>
        <v>0</v>
      </c>
      <c r="J31" s="25"/>
      <c r="K31" s="26"/>
      <c r="L31" s="25"/>
      <c r="M31" s="26"/>
      <c r="N31" s="25">
        <v>4</v>
      </c>
      <c r="O31" s="38">
        <v>18</v>
      </c>
      <c r="P31" s="28">
        <f t="shared" si="2"/>
        <v>72</v>
      </c>
      <c r="Q31" s="25"/>
      <c r="R31" s="26"/>
      <c r="S31" s="25"/>
      <c r="T31" s="26"/>
      <c r="U31" s="25"/>
      <c r="V31" s="26"/>
      <c r="W31" s="29">
        <f t="shared" si="0"/>
        <v>0</v>
      </c>
      <c r="X31" s="25">
        <v>6</v>
      </c>
      <c r="Y31" s="38">
        <v>18</v>
      </c>
      <c r="Z31" s="25"/>
      <c r="AA31" s="26"/>
      <c r="AB31" s="25"/>
      <c r="AC31" s="26"/>
      <c r="AD31" s="30">
        <f t="shared" si="3"/>
        <v>108</v>
      </c>
      <c r="AE31" s="31">
        <f t="shared" si="4"/>
        <v>180</v>
      </c>
    </row>
    <row r="32" spans="1:31">
      <c r="A32" s="36" t="s">
        <v>131</v>
      </c>
      <c r="B32" s="43"/>
      <c r="C32" s="37"/>
      <c r="D32" s="38"/>
      <c r="E32" s="25"/>
      <c r="F32" s="38">
        <v>18</v>
      </c>
      <c r="G32" s="37"/>
      <c r="H32" s="38"/>
      <c r="I32" s="27">
        <f t="shared" si="1"/>
        <v>0</v>
      </c>
      <c r="J32" s="37"/>
      <c r="K32" s="38"/>
      <c r="L32" s="37"/>
      <c r="M32" s="38"/>
      <c r="N32" s="25">
        <v>4</v>
      </c>
      <c r="O32" s="38">
        <v>18</v>
      </c>
      <c r="P32" s="39">
        <f t="shared" si="2"/>
        <v>72</v>
      </c>
      <c r="Q32" s="37"/>
      <c r="R32" s="38"/>
      <c r="S32" s="37"/>
      <c r="T32" s="38"/>
      <c r="U32" s="37"/>
      <c r="V32" s="38"/>
      <c r="W32" s="29">
        <f t="shared" si="0"/>
        <v>0</v>
      </c>
      <c r="X32" s="25">
        <v>6</v>
      </c>
      <c r="Y32" s="38">
        <v>18</v>
      </c>
      <c r="Z32" s="37"/>
      <c r="AA32" s="38"/>
      <c r="AB32" s="37"/>
      <c r="AC32" s="38"/>
      <c r="AD32" s="30">
        <f t="shared" si="3"/>
        <v>108</v>
      </c>
      <c r="AE32" s="40">
        <f t="shared" si="4"/>
        <v>180</v>
      </c>
    </row>
    <row r="33" spans="1:31">
      <c r="A33" s="24" t="s">
        <v>132</v>
      </c>
      <c r="B33" s="42"/>
      <c r="C33" s="25"/>
      <c r="D33" s="26"/>
      <c r="E33" s="25">
        <v>20</v>
      </c>
      <c r="F33" s="38">
        <v>18</v>
      </c>
      <c r="G33" s="25"/>
      <c r="H33" s="26"/>
      <c r="I33" s="27">
        <f t="shared" si="1"/>
        <v>360</v>
      </c>
      <c r="J33" s="25"/>
      <c r="K33" s="26"/>
      <c r="L33" s="25"/>
      <c r="M33" s="26"/>
      <c r="N33" s="25">
        <v>4</v>
      </c>
      <c r="O33" s="38">
        <v>18</v>
      </c>
      <c r="P33" s="28">
        <f t="shared" si="2"/>
        <v>72</v>
      </c>
      <c r="Q33" s="25"/>
      <c r="R33" s="26"/>
      <c r="S33" s="25"/>
      <c r="T33" s="26"/>
      <c r="U33" s="25"/>
      <c r="V33" s="26"/>
      <c r="W33" s="29">
        <f t="shared" si="0"/>
        <v>0</v>
      </c>
      <c r="X33" s="25">
        <v>6</v>
      </c>
      <c r="Y33" s="38">
        <v>18</v>
      </c>
      <c r="Z33" s="25"/>
      <c r="AA33" s="26"/>
      <c r="AB33" s="25"/>
      <c r="AC33" s="26"/>
      <c r="AD33" s="30">
        <f t="shared" si="3"/>
        <v>108</v>
      </c>
      <c r="AE33" s="31">
        <f t="shared" si="4"/>
        <v>540</v>
      </c>
    </row>
    <row r="34" spans="1:31">
      <c r="A34" s="36" t="s">
        <v>133</v>
      </c>
      <c r="B34" s="43"/>
      <c r="C34" s="37"/>
      <c r="D34" s="38"/>
      <c r="E34" s="25">
        <v>20</v>
      </c>
      <c r="F34" s="38">
        <v>18</v>
      </c>
      <c r="G34" s="37"/>
      <c r="H34" s="38"/>
      <c r="I34" s="27">
        <f t="shared" si="1"/>
        <v>360</v>
      </c>
      <c r="J34" s="37"/>
      <c r="K34" s="38"/>
      <c r="L34" s="37"/>
      <c r="M34" s="38"/>
      <c r="N34" s="25">
        <v>4</v>
      </c>
      <c r="O34" s="38">
        <v>18</v>
      </c>
      <c r="P34" s="39">
        <f t="shared" si="2"/>
        <v>72</v>
      </c>
      <c r="Q34" s="37"/>
      <c r="R34" s="38"/>
      <c r="S34" s="37"/>
      <c r="T34" s="38"/>
      <c r="U34" s="37"/>
      <c r="V34" s="38"/>
      <c r="W34" s="29">
        <f t="shared" si="0"/>
        <v>0</v>
      </c>
      <c r="X34" s="25">
        <v>6</v>
      </c>
      <c r="Y34" s="38">
        <v>18</v>
      </c>
      <c r="Z34" s="37"/>
      <c r="AA34" s="38"/>
      <c r="AB34" s="37"/>
      <c r="AC34" s="38"/>
      <c r="AD34" s="30">
        <f t="shared" si="3"/>
        <v>108</v>
      </c>
      <c r="AE34" s="40">
        <f t="shared" si="4"/>
        <v>540</v>
      </c>
    </row>
    <row r="35" spans="1:31">
      <c r="A35" s="24" t="s">
        <v>134</v>
      </c>
      <c r="B35" s="42"/>
      <c r="C35" s="25"/>
      <c r="D35" s="26"/>
      <c r="E35" s="25"/>
      <c r="F35" s="38">
        <v>18</v>
      </c>
      <c r="G35" s="25"/>
      <c r="H35" s="26"/>
      <c r="I35" s="27">
        <f t="shared" si="1"/>
        <v>0</v>
      </c>
      <c r="J35" s="25"/>
      <c r="K35" s="26"/>
      <c r="L35" s="25"/>
      <c r="M35" s="26"/>
      <c r="N35" s="25">
        <v>8</v>
      </c>
      <c r="O35" s="38">
        <v>18</v>
      </c>
      <c r="P35" s="28">
        <f t="shared" si="2"/>
        <v>144</v>
      </c>
      <c r="Q35" s="25"/>
      <c r="R35" s="26"/>
      <c r="S35" s="25"/>
      <c r="T35" s="26"/>
      <c r="U35" s="25"/>
      <c r="V35" s="26"/>
      <c r="W35" s="29">
        <f t="shared" si="0"/>
        <v>0</v>
      </c>
      <c r="X35" s="25">
        <v>8</v>
      </c>
      <c r="Y35" s="38">
        <v>18</v>
      </c>
      <c r="Z35" s="25"/>
      <c r="AA35" s="26"/>
      <c r="AB35" s="25"/>
      <c r="AC35" s="26"/>
      <c r="AD35" s="30">
        <f t="shared" si="3"/>
        <v>144</v>
      </c>
      <c r="AE35" s="31">
        <f t="shared" si="4"/>
        <v>288</v>
      </c>
    </row>
    <row r="36" spans="1:31">
      <c r="A36" s="36" t="s">
        <v>135</v>
      </c>
      <c r="B36" s="43"/>
      <c r="C36" s="37"/>
      <c r="D36" s="38"/>
      <c r="E36" s="25"/>
      <c r="F36" s="38">
        <v>18</v>
      </c>
      <c r="G36" s="37"/>
      <c r="H36" s="38"/>
      <c r="I36" s="27">
        <f t="shared" si="1"/>
        <v>0</v>
      </c>
      <c r="J36" s="37"/>
      <c r="K36" s="38"/>
      <c r="L36" s="37"/>
      <c r="M36" s="38"/>
      <c r="N36" s="25">
        <v>8</v>
      </c>
      <c r="O36" s="38">
        <v>18</v>
      </c>
      <c r="P36" s="39">
        <f t="shared" si="2"/>
        <v>144</v>
      </c>
      <c r="Q36" s="37"/>
      <c r="R36" s="38"/>
      <c r="S36" s="37"/>
      <c r="T36" s="38"/>
      <c r="U36" s="37"/>
      <c r="V36" s="38"/>
      <c r="W36" s="29">
        <f t="shared" si="0"/>
        <v>0</v>
      </c>
      <c r="X36" s="25">
        <v>8</v>
      </c>
      <c r="Y36" s="38">
        <v>18</v>
      </c>
      <c r="Z36" s="37"/>
      <c r="AA36" s="38"/>
      <c r="AB36" s="37"/>
      <c r="AC36" s="38"/>
      <c r="AD36" s="30">
        <f t="shared" si="3"/>
        <v>144</v>
      </c>
      <c r="AE36" s="40">
        <f t="shared" si="4"/>
        <v>288</v>
      </c>
    </row>
    <row r="37" spans="1:31">
      <c r="A37" s="24" t="s">
        <v>136</v>
      </c>
      <c r="B37" s="42"/>
      <c r="C37" s="25"/>
      <c r="D37" s="26"/>
      <c r="E37" s="25"/>
      <c r="F37" s="38">
        <v>18</v>
      </c>
      <c r="G37" s="25"/>
      <c r="H37" s="26"/>
      <c r="I37" s="27">
        <f t="shared" si="1"/>
        <v>0</v>
      </c>
      <c r="J37" s="25"/>
      <c r="K37" s="26"/>
      <c r="L37" s="25"/>
      <c r="M37" s="26"/>
      <c r="N37" s="25">
        <v>8</v>
      </c>
      <c r="O37" s="38">
        <v>18</v>
      </c>
      <c r="P37" s="28">
        <f t="shared" si="2"/>
        <v>144</v>
      </c>
      <c r="Q37" s="25"/>
      <c r="R37" s="26"/>
      <c r="S37" s="25"/>
      <c r="T37" s="26"/>
      <c r="U37" s="25"/>
      <c r="V37" s="26"/>
      <c r="W37" s="29">
        <f t="shared" si="0"/>
        <v>0</v>
      </c>
      <c r="X37" s="25">
        <v>8</v>
      </c>
      <c r="Y37" s="38">
        <v>18</v>
      </c>
      <c r="Z37" s="25"/>
      <c r="AA37" s="26"/>
      <c r="AB37" s="25"/>
      <c r="AC37" s="26"/>
      <c r="AD37" s="30">
        <f t="shared" si="3"/>
        <v>144</v>
      </c>
      <c r="AE37" s="31">
        <f t="shared" si="4"/>
        <v>288</v>
      </c>
    </row>
    <row r="38" spans="1:31">
      <c r="A38" s="36" t="s">
        <v>137</v>
      </c>
      <c r="B38" s="43"/>
      <c r="C38" s="37"/>
      <c r="D38" s="38"/>
      <c r="E38" s="25"/>
      <c r="F38" s="38">
        <v>18</v>
      </c>
      <c r="G38" s="37"/>
      <c r="H38" s="38"/>
      <c r="I38" s="27">
        <f t="shared" si="1"/>
        <v>0</v>
      </c>
      <c r="J38" s="37"/>
      <c r="K38" s="38"/>
      <c r="L38" s="37"/>
      <c r="M38" s="38"/>
      <c r="N38" s="25">
        <v>8</v>
      </c>
      <c r="O38" s="38">
        <v>18</v>
      </c>
      <c r="P38" s="39">
        <f t="shared" si="2"/>
        <v>144</v>
      </c>
      <c r="Q38" s="37"/>
      <c r="R38" s="38"/>
      <c r="S38" s="37"/>
      <c r="T38" s="38"/>
      <c r="U38" s="37"/>
      <c r="V38" s="38"/>
      <c r="W38" s="29">
        <f t="shared" si="0"/>
        <v>0</v>
      </c>
      <c r="X38" s="25">
        <v>8</v>
      </c>
      <c r="Y38" s="38">
        <v>18</v>
      </c>
      <c r="Z38" s="37"/>
      <c r="AA38" s="38"/>
      <c r="AB38" s="37"/>
      <c r="AC38" s="38"/>
      <c r="AD38" s="30">
        <f t="shared" si="3"/>
        <v>144</v>
      </c>
      <c r="AE38" s="40">
        <f t="shared" si="4"/>
        <v>288</v>
      </c>
    </row>
    <row r="39" spans="1:31">
      <c r="A39" s="24" t="s">
        <v>138</v>
      </c>
      <c r="B39" s="42"/>
      <c r="C39" s="25"/>
      <c r="D39" s="26"/>
      <c r="E39" s="25"/>
      <c r="F39" s="38">
        <v>18</v>
      </c>
      <c r="G39" s="25"/>
      <c r="H39" s="26"/>
      <c r="I39" s="27">
        <f t="shared" si="1"/>
        <v>0</v>
      </c>
      <c r="J39" s="25"/>
      <c r="K39" s="26"/>
      <c r="L39" s="25"/>
      <c r="M39" s="26"/>
      <c r="N39" s="25">
        <v>8</v>
      </c>
      <c r="O39" s="38">
        <v>18</v>
      </c>
      <c r="P39" s="28">
        <f t="shared" si="2"/>
        <v>144</v>
      </c>
      <c r="Q39" s="25"/>
      <c r="R39" s="26"/>
      <c r="S39" s="25"/>
      <c r="T39" s="26"/>
      <c r="U39" s="25"/>
      <c r="V39" s="26"/>
      <c r="W39" s="29">
        <f t="shared" si="0"/>
        <v>0</v>
      </c>
      <c r="X39" s="25">
        <v>8</v>
      </c>
      <c r="Y39" s="38">
        <v>18</v>
      </c>
      <c r="Z39" s="25"/>
      <c r="AA39" s="26"/>
      <c r="AB39" s="25"/>
      <c r="AC39" s="26"/>
      <c r="AD39" s="30">
        <f t="shared" si="3"/>
        <v>144</v>
      </c>
      <c r="AE39" s="31">
        <f t="shared" si="4"/>
        <v>288</v>
      </c>
    </row>
    <row r="40" spans="1:31">
      <c r="A40" s="36" t="s">
        <v>139</v>
      </c>
      <c r="B40" s="43"/>
      <c r="C40" s="37"/>
      <c r="D40" s="38"/>
      <c r="E40" s="25"/>
      <c r="F40" s="38">
        <v>18</v>
      </c>
      <c r="G40" s="37"/>
      <c r="H40" s="38"/>
      <c r="I40" s="27">
        <f t="shared" si="1"/>
        <v>0</v>
      </c>
      <c r="J40" s="37"/>
      <c r="K40" s="38"/>
      <c r="L40" s="37"/>
      <c r="M40" s="38"/>
      <c r="N40" s="25">
        <v>8</v>
      </c>
      <c r="O40" s="38">
        <v>18</v>
      </c>
      <c r="P40" s="39">
        <f t="shared" si="2"/>
        <v>144</v>
      </c>
      <c r="Q40" s="37"/>
      <c r="R40" s="38"/>
      <c r="S40" s="37"/>
      <c r="T40" s="38"/>
      <c r="U40" s="37"/>
      <c r="V40" s="38"/>
      <c r="W40" s="29">
        <f t="shared" si="0"/>
        <v>0</v>
      </c>
      <c r="X40" s="25">
        <v>8</v>
      </c>
      <c r="Y40" s="38">
        <v>18</v>
      </c>
      <c r="Z40" s="37"/>
      <c r="AA40" s="38"/>
      <c r="AB40" s="37"/>
      <c r="AC40" s="38"/>
      <c r="AD40" s="30">
        <f t="shared" si="3"/>
        <v>144</v>
      </c>
      <c r="AE40" s="40">
        <f t="shared" si="4"/>
        <v>288</v>
      </c>
    </row>
    <row r="41" spans="1:31">
      <c r="A41" s="24" t="s">
        <v>140</v>
      </c>
      <c r="B41" s="42"/>
      <c r="C41" s="25"/>
      <c r="D41" s="26"/>
      <c r="E41" s="25"/>
      <c r="F41" s="38">
        <v>18</v>
      </c>
      <c r="G41" s="25"/>
      <c r="H41" s="26"/>
      <c r="I41" s="27">
        <f t="shared" si="1"/>
        <v>0</v>
      </c>
      <c r="J41" s="25"/>
      <c r="K41" s="26"/>
      <c r="L41" s="25"/>
      <c r="M41" s="26"/>
      <c r="N41" s="25">
        <v>8</v>
      </c>
      <c r="O41" s="38">
        <v>18</v>
      </c>
      <c r="P41" s="28">
        <f t="shared" si="2"/>
        <v>144</v>
      </c>
      <c r="Q41" s="25"/>
      <c r="R41" s="26"/>
      <c r="S41" s="25"/>
      <c r="T41" s="26"/>
      <c r="U41" s="25"/>
      <c r="V41" s="26"/>
      <c r="W41" s="29">
        <f t="shared" si="0"/>
        <v>0</v>
      </c>
      <c r="X41" s="25">
        <v>8</v>
      </c>
      <c r="Y41" s="38">
        <v>18</v>
      </c>
      <c r="Z41" s="25"/>
      <c r="AA41" s="26"/>
      <c r="AB41" s="25"/>
      <c r="AC41" s="26"/>
      <c r="AD41" s="30">
        <f t="shared" si="3"/>
        <v>144</v>
      </c>
      <c r="AE41" s="31">
        <f t="shared" si="4"/>
        <v>288</v>
      </c>
    </row>
    <row r="42" spans="1:31">
      <c r="A42" s="36" t="s">
        <v>141</v>
      </c>
      <c r="B42" s="43"/>
      <c r="C42" s="37"/>
      <c r="D42" s="38"/>
      <c r="E42" s="25"/>
      <c r="F42" s="38">
        <v>18</v>
      </c>
      <c r="G42" s="37"/>
      <c r="H42" s="38"/>
      <c r="I42" s="27">
        <f t="shared" si="1"/>
        <v>0</v>
      </c>
      <c r="J42" s="37"/>
      <c r="K42" s="38"/>
      <c r="L42" s="37"/>
      <c r="M42" s="38"/>
      <c r="N42" s="25">
        <v>8</v>
      </c>
      <c r="O42" s="38">
        <v>18</v>
      </c>
      <c r="P42" s="39">
        <f t="shared" si="2"/>
        <v>144</v>
      </c>
      <c r="Q42" s="37"/>
      <c r="R42" s="38"/>
      <c r="S42" s="37"/>
      <c r="T42" s="38"/>
      <c r="U42" s="37"/>
      <c r="V42" s="38"/>
      <c r="W42" s="29">
        <f t="shared" si="0"/>
        <v>0</v>
      </c>
      <c r="X42" s="25">
        <v>8</v>
      </c>
      <c r="Y42" s="38">
        <v>18</v>
      </c>
      <c r="Z42" s="37"/>
      <c r="AA42" s="38"/>
      <c r="AB42" s="37"/>
      <c r="AC42" s="38"/>
      <c r="AD42" s="30">
        <f t="shared" si="3"/>
        <v>144</v>
      </c>
      <c r="AE42" s="40">
        <f t="shared" si="4"/>
        <v>288</v>
      </c>
    </row>
    <row r="43" spans="1:31" ht="13.7" customHeight="1">
      <c r="A43" s="24" t="s">
        <v>142</v>
      </c>
      <c r="B43" s="42"/>
      <c r="C43" s="25"/>
      <c r="D43" s="26"/>
      <c r="E43" s="25"/>
      <c r="F43" s="38">
        <v>18</v>
      </c>
      <c r="G43" s="25"/>
      <c r="H43" s="26"/>
      <c r="I43" s="27">
        <f t="shared" si="1"/>
        <v>0</v>
      </c>
      <c r="J43" s="25"/>
      <c r="K43" s="26"/>
      <c r="L43" s="25"/>
      <c r="M43" s="26"/>
      <c r="N43" s="25">
        <v>6</v>
      </c>
      <c r="O43" s="38">
        <v>18</v>
      </c>
      <c r="P43" s="28">
        <f t="shared" si="2"/>
        <v>108</v>
      </c>
      <c r="Q43" s="25"/>
      <c r="R43" s="26"/>
      <c r="S43" s="25"/>
      <c r="T43" s="26"/>
      <c r="U43" s="25"/>
      <c r="V43" s="26"/>
      <c r="W43" s="29">
        <f t="shared" si="0"/>
        <v>0</v>
      </c>
      <c r="X43" s="25">
        <v>4</v>
      </c>
      <c r="Y43" s="38">
        <v>18</v>
      </c>
      <c r="Z43" s="25"/>
      <c r="AA43" s="26"/>
      <c r="AB43" s="25"/>
      <c r="AC43" s="26"/>
      <c r="AD43" s="30">
        <f t="shared" si="3"/>
        <v>72</v>
      </c>
      <c r="AE43" s="31">
        <f t="shared" si="4"/>
        <v>180</v>
      </c>
    </row>
    <row r="44" spans="1:31">
      <c r="A44" s="36" t="s">
        <v>143</v>
      </c>
      <c r="B44" s="43"/>
      <c r="C44" s="37"/>
      <c r="D44" s="38"/>
      <c r="E44" s="25"/>
      <c r="F44" s="38">
        <v>18</v>
      </c>
      <c r="G44" s="37"/>
      <c r="H44" s="38"/>
      <c r="I44" s="27">
        <f t="shared" si="1"/>
        <v>0</v>
      </c>
      <c r="J44" s="37"/>
      <c r="K44" s="38"/>
      <c r="L44" s="37"/>
      <c r="M44" s="38"/>
      <c r="N44" s="25">
        <v>6</v>
      </c>
      <c r="O44" s="38">
        <v>18</v>
      </c>
      <c r="P44" s="39">
        <f t="shared" si="2"/>
        <v>108</v>
      </c>
      <c r="Q44" s="37"/>
      <c r="R44" s="38"/>
      <c r="S44" s="37"/>
      <c r="T44" s="38"/>
      <c r="U44" s="37"/>
      <c r="V44" s="38"/>
      <c r="W44" s="29">
        <f t="shared" si="0"/>
        <v>0</v>
      </c>
      <c r="X44" s="25">
        <v>4</v>
      </c>
      <c r="Y44" s="38">
        <v>18</v>
      </c>
      <c r="Z44" s="37"/>
      <c r="AA44" s="38"/>
      <c r="AB44" s="37"/>
      <c r="AC44" s="38"/>
      <c r="AD44" s="30">
        <f t="shared" si="3"/>
        <v>72</v>
      </c>
      <c r="AE44" s="40">
        <f t="shared" si="4"/>
        <v>180</v>
      </c>
    </row>
    <row r="45" spans="1:31">
      <c r="A45" s="24" t="s">
        <v>144</v>
      </c>
      <c r="B45" s="42"/>
      <c r="C45" s="25"/>
      <c r="D45" s="26"/>
      <c r="E45" s="25"/>
      <c r="F45" s="38">
        <v>18</v>
      </c>
      <c r="G45" s="25"/>
      <c r="H45" s="26"/>
      <c r="I45" s="27">
        <f t="shared" si="1"/>
        <v>0</v>
      </c>
      <c r="J45" s="25"/>
      <c r="K45" s="26"/>
      <c r="L45" s="25"/>
      <c r="M45" s="26"/>
      <c r="N45" s="25">
        <v>6</v>
      </c>
      <c r="O45" s="38">
        <v>18</v>
      </c>
      <c r="P45" s="28">
        <f t="shared" si="2"/>
        <v>108</v>
      </c>
      <c r="Q45" s="25"/>
      <c r="R45" s="26"/>
      <c r="S45" s="25"/>
      <c r="T45" s="26"/>
      <c r="U45" s="25"/>
      <c r="V45" s="26"/>
      <c r="W45" s="29">
        <f t="shared" si="0"/>
        <v>0</v>
      </c>
      <c r="X45" s="25">
        <v>4</v>
      </c>
      <c r="Y45" s="38">
        <v>18</v>
      </c>
      <c r="Z45" s="25"/>
      <c r="AA45" s="26"/>
      <c r="AB45" s="25"/>
      <c r="AC45" s="26"/>
      <c r="AD45" s="30">
        <f t="shared" si="3"/>
        <v>72</v>
      </c>
      <c r="AE45" s="31">
        <f t="shared" si="4"/>
        <v>180</v>
      </c>
    </row>
    <row r="46" spans="1:31">
      <c r="A46" s="36" t="s">
        <v>145</v>
      </c>
      <c r="B46" s="43"/>
      <c r="C46" s="37"/>
      <c r="D46" s="38"/>
      <c r="E46" s="25"/>
      <c r="F46" s="38">
        <v>18</v>
      </c>
      <c r="G46" s="37"/>
      <c r="H46" s="38"/>
      <c r="I46" s="27">
        <f t="shared" si="1"/>
        <v>0</v>
      </c>
      <c r="J46" s="37"/>
      <c r="K46" s="38"/>
      <c r="L46" s="37"/>
      <c r="M46" s="38"/>
      <c r="N46" s="25">
        <v>6</v>
      </c>
      <c r="O46" s="38">
        <v>18</v>
      </c>
      <c r="P46" s="39">
        <f t="shared" si="2"/>
        <v>108</v>
      </c>
      <c r="Q46" s="37"/>
      <c r="R46" s="38"/>
      <c r="S46" s="37"/>
      <c r="T46" s="38"/>
      <c r="U46" s="37"/>
      <c r="V46" s="38"/>
      <c r="W46" s="29">
        <f t="shared" si="0"/>
        <v>0</v>
      </c>
      <c r="X46" s="25">
        <v>4</v>
      </c>
      <c r="Y46" s="38">
        <v>18</v>
      </c>
      <c r="Z46" s="37"/>
      <c r="AA46" s="38"/>
      <c r="AB46" s="37"/>
      <c r="AC46" s="38"/>
      <c r="AD46" s="30">
        <f t="shared" si="3"/>
        <v>72</v>
      </c>
      <c r="AE46" s="40">
        <f t="shared" si="4"/>
        <v>180</v>
      </c>
    </row>
    <row r="47" spans="1:31">
      <c r="A47" s="24" t="s">
        <v>146</v>
      </c>
      <c r="B47" s="42"/>
      <c r="C47" s="25"/>
      <c r="D47" s="26"/>
      <c r="E47" s="25"/>
      <c r="F47" s="38">
        <v>18</v>
      </c>
      <c r="G47" s="25"/>
      <c r="H47" s="26"/>
      <c r="I47" s="27">
        <f t="shared" si="1"/>
        <v>0</v>
      </c>
      <c r="J47" s="25"/>
      <c r="K47" s="26"/>
      <c r="L47" s="25"/>
      <c r="M47" s="26"/>
      <c r="N47" s="25">
        <v>6</v>
      </c>
      <c r="O47" s="38">
        <v>18</v>
      </c>
      <c r="P47" s="28">
        <f t="shared" si="2"/>
        <v>108</v>
      </c>
      <c r="Q47" s="25"/>
      <c r="R47" s="26"/>
      <c r="S47" s="25"/>
      <c r="T47" s="26"/>
      <c r="U47" s="25"/>
      <c r="V47" s="26"/>
      <c r="W47" s="29">
        <f t="shared" si="0"/>
        <v>0</v>
      </c>
      <c r="X47" s="25">
        <v>4</v>
      </c>
      <c r="Y47" s="38">
        <v>18</v>
      </c>
      <c r="Z47" s="25"/>
      <c r="AA47" s="26"/>
      <c r="AB47" s="25"/>
      <c r="AC47" s="26"/>
      <c r="AD47" s="30">
        <f t="shared" si="3"/>
        <v>72</v>
      </c>
      <c r="AE47" s="31">
        <f t="shared" si="4"/>
        <v>180</v>
      </c>
    </row>
    <row r="48" spans="1:31">
      <c r="A48" s="36" t="s">
        <v>147</v>
      </c>
      <c r="B48" s="43"/>
      <c r="C48" s="37"/>
      <c r="D48" s="38"/>
      <c r="E48" s="25"/>
      <c r="F48" s="38">
        <v>18</v>
      </c>
      <c r="G48" s="37"/>
      <c r="H48" s="38"/>
      <c r="I48" s="27">
        <f t="shared" si="1"/>
        <v>0</v>
      </c>
      <c r="J48" s="37"/>
      <c r="K48" s="38"/>
      <c r="L48" s="37"/>
      <c r="M48" s="38"/>
      <c r="N48" s="25">
        <v>6</v>
      </c>
      <c r="O48" s="38">
        <v>18</v>
      </c>
      <c r="P48" s="39">
        <f t="shared" si="2"/>
        <v>108</v>
      </c>
      <c r="Q48" s="37"/>
      <c r="R48" s="38"/>
      <c r="S48" s="37"/>
      <c r="T48" s="38"/>
      <c r="U48" s="37"/>
      <c r="V48" s="38"/>
      <c r="W48" s="29">
        <f t="shared" si="0"/>
        <v>0</v>
      </c>
      <c r="X48" s="25">
        <v>4</v>
      </c>
      <c r="Y48" s="38">
        <v>18</v>
      </c>
      <c r="Z48" s="37"/>
      <c r="AA48" s="38"/>
      <c r="AB48" s="37"/>
      <c r="AC48" s="38"/>
      <c r="AD48" s="30">
        <f t="shared" si="3"/>
        <v>72</v>
      </c>
      <c r="AE48" s="40">
        <f t="shared" si="4"/>
        <v>180</v>
      </c>
    </row>
    <row r="49" spans="1:31">
      <c r="A49" s="24" t="s">
        <v>148</v>
      </c>
      <c r="B49" s="42"/>
      <c r="C49" s="25"/>
      <c r="D49" s="26"/>
      <c r="E49" s="25"/>
      <c r="F49" s="38">
        <v>18</v>
      </c>
      <c r="G49" s="25"/>
      <c r="H49" s="26"/>
      <c r="I49" s="27">
        <f t="shared" si="1"/>
        <v>0</v>
      </c>
      <c r="J49" s="25"/>
      <c r="K49" s="26"/>
      <c r="L49" s="25"/>
      <c r="M49" s="26"/>
      <c r="N49" s="25">
        <v>6</v>
      </c>
      <c r="O49" s="38">
        <v>18</v>
      </c>
      <c r="P49" s="28">
        <f t="shared" si="2"/>
        <v>108</v>
      </c>
      <c r="Q49" s="25"/>
      <c r="R49" s="26"/>
      <c r="S49" s="25"/>
      <c r="T49" s="26"/>
      <c r="U49" s="25"/>
      <c r="V49" s="26"/>
      <c r="W49" s="29">
        <f t="shared" si="0"/>
        <v>0</v>
      </c>
      <c r="X49" s="25">
        <v>4</v>
      </c>
      <c r="Y49" s="38">
        <v>18</v>
      </c>
      <c r="Z49" s="25"/>
      <c r="AA49" s="26"/>
      <c r="AB49" s="25"/>
      <c r="AC49" s="26"/>
      <c r="AD49" s="30">
        <f t="shared" si="3"/>
        <v>72</v>
      </c>
      <c r="AE49" s="31">
        <f t="shared" si="4"/>
        <v>180</v>
      </c>
    </row>
    <row r="50" spans="1:31">
      <c r="A50" s="36" t="s">
        <v>149</v>
      </c>
      <c r="B50" s="43"/>
      <c r="C50" s="37"/>
      <c r="D50" s="38"/>
      <c r="E50" s="25"/>
      <c r="F50" s="38">
        <v>18</v>
      </c>
      <c r="G50" s="37"/>
      <c r="H50" s="38"/>
      <c r="I50" s="27">
        <f t="shared" si="1"/>
        <v>0</v>
      </c>
      <c r="J50" s="37"/>
      <c r="K50" s="38"/>
      <c r="L50" s="37"/>
      <c r="M50" s="38"/>
      <c r="N50" s="25">
        <v>6</v>
      </c>
      <c r="O50" s="38">
        <v>18</v>
      </c>
      <c r="P50" s="39">
        <f t="shared" si="2"/>
        <v>108</v>
      </c>
      <c r="Q50" s="37"/>
      <c r="R50" s="38"/>
      <c r="S50" s="37"/>
      <c r="T50" s="38"/>
      <c r="U50" s="37"/>
      <c r="V50" s="38"/>
      <c r="W50" s="29">
        <f t="shared" si="0"/>
        <v>0</v>
      </c>
      <c r="X50" s="25">
        <v>4</v>
      </c>
      <c r="Y50" s="38">
        <v>18</v>
      </c>
      <c r="Z50" s="37"/>
      <c r="AA50" s="38"/>
      <c r="AB50" s="37"/>
      <c r="AC50" s="38"/>
      <c r="AD50" s="30">
        <f t="shared" si="3"/>
        <v>72</v>
      </c>
      <c r="AE50" s="40">
        <f t="shared" si="4"/>
        <v>180</v>
      </c>
    </row>
    <row r="51" spans="1:31">
      <c r="A51" s="24" t="s">
        <v>150</v>
      </c>
      <c r="B51" s="42"/>
      <c r="C51" s="25"/>
      <c r="D51" s="26"/>
      <c r="E51" s="25"/>
      <c r="F51" s="38">
        <v>18</v>
      </c>
      <c r="G51" s="25"/>
      <c r="H51" s="26"/>
      <c r="I51" s="27">
        <f t="shared" si="1"/>
        <v>0</v>
      </c>
      <c r="J51" s="25"/>
      <c r="K51" s="26"/>
      <c r="L51" s="25"/>
      <c r="M51" s="26"/>
      <c r="N51" s="25">
        <v>6</v>
      </c>
      <c r="O51" s="38">
        <v>18</v>
      </c>
      <c r="P51" s="28">
        <f t="shared" si="2"/>
        <v>108</v>
      </c>
      <c r="Q51" s="25"/>
      <c r="R51" s="26"/>
      <c r="S51" s="25"/>
      <c r="T51" s="26"/>
      <c r="U51" s="25"/>
      <c r="V51" s="26"/>
      <c r="W51" s="29">
        <f t="shared" si="0"/>
        <v>0</v>
      </c>
      <c r="X51" s="25">
        <v>4</v>
      </c>
      <c r="Y51" s="38">
        <v>18</v>
      </c>
      <c r="Z51" s="25"/>
      <c r="AA51" s="26"/>
      <c r="AB51" s="25"/>
      <c r="AC51" s="26"/>
      <c r="AD51" s="30">
        <f t="shared" si="3"/>
        <v>72</v>
      </c>
      <c r="AE51" s="31">
        <f t="shared" si="4"/>
        <v>180</v>
      </c>
    </row>
    <row r="52" spans="1:31">
      <c r="A52" s="36" t="s">
        <v>151</v>
      </c>
      <c r="B52" s="43"/>
      <c r="C52" s="37"/>
      <c r="D52" s="38"/>
      <c r="E52" s="25"/>
      <c r="F52" s="38">
        <v>18</v>
      </c>
      <c r="G52" s="37"/>
      <c r="H52" s="38"/>
      <c r="I52" s="27">
        <f t="shared" si="1"/>
        <v>0</v>
      </c>
      <c r="J52" s="37"/>
      <c r="K52" s="38"/>
      <c r="L52" s="37"/>
      <c r="M52" s="38"/>
      <c r="N52" s="25">
        <v>6</v>
      </c>
      <c r="O52" s="38">
        <v>18</v>
      </c>
      <c r="P52" s="39">
        <f t="shared" si="2"/>
        <v>108</v>
      </c>
      <c r="Q52" s="37"/>
      <c r="R52" s="38"/>
      <c r="S52" s="37"/>
      <c r="T52" s="38"/>
      <c r="U52" s="37"/>
      <c r="V52" s="38"/>
      <c r="W52" s="29">
        <f t="shared" si="0"/>
        <v>0</v>
      </c>
      <c r="X52" s="25">
        <v>4</v>
      </c>
      <c r="Y52" s="38">
        <v>18</v>
      </c>
      <c r="Z52" s="37"/>
      <c r="AA52" s="38"/>
      <c r="AB52" s="37"/>
      <c r="AC52" s="38"/>
      <c r="AD52" s="30">
        <f t="shared" si="3"/>
        <v>72</v>
      </c>
      <c r="AE52" s="40">
        <f t="shared" si="4"/>
        <v>180</v>
      </c>
    </row>
    <row r="53" spans="1:31">
      <c r="A53" s="24" t="s">
        <v>152</v>
      </c>
      <c r="B53" s="42"/>
      <c r="C53" s="25"/>
      <c r="D53" s="26"/>
      <c r="E53" s="25"/>
      <c r="F53" s="38">
        <v>18</v>
      </c>
      <c r="G53" s="25"/>
      <c r="H53" s="26"/>
      <c r="I53" s="27">
        <f t="shared" si="1"/>
        <v>0</v>
      </c>
      <c r="J53" s="25"/>
      <c r="K53" s="26"/>
      <c r="L53" s="25"/>
      <c r="M53" s="26"/>
      <c r="N53" s="25">
        <v>6</v>
      </c>
      <c r="O53" s="38">
        <v>18</v>
      </c>
      <c r="P53" s="28">
        <f t="shared" si="2"/>
        <v>108</v>
      </c>
      <c r="Q53" s="25"/>
      <c r="R53" s="26"/>
      <c r="S53" s="25"/>
      <c r="T53" s="26"/>
      <c r="U53" s="25"/>
      <c r="V53" s="26"/>
      <c r="W53" s="29">
        <f t="shared" si="0"/>
        <v>0</v>
      </c>
      <c r="X53" s="25">
        <v>4</v>
      </c>
      <c r="Y53" s="38">
        <v>18</v>
      </c>
      <c r="Z53" s="25"/>
      <c r="AA53" s="26"/>
      <c r="AB53" s="25"/>
      <c r="AC53" s="26"/>
      <c r="AD53" s="30">
        <f t="shared" si="3"/>
        <v>72</v>
      </c>
      <c r="AE53" s="31">
        <f t="shared" si="4"/>
        <v>180</v>
      </c>
    </row>
    <row r="54" spans="1:31">
      <c r="A54" s="36" t="s">
        <v>153</v>
      </c>
      <c r="B54" s="43"/>
      <c r="C54" s="37"/>
      <c r="D54" s="38"/>
      <c r="E54" s="25"/>
      <c r="F54" s="38">
        <v>18</v>
      </c>
      <c r="G54" s="37"/>
      <c r="H54" s="38"/>
      <c r="I54" s="27">
        <f t="shared" si="1"/>
        <v>0</v>
      </c>
      <c r="J54" s="37"/>
      <c r="K54" s="38"/>
      <c r="L54" s="37"/>
      <c r="M54" s="38"/>
      <c r="N54" s="25">
        <v>6</v>
      </c>
      <c r="O54" s="38">
        <v>18</v>
      </c>
      <c r="P54" s="39">
        <f t="shared" si="2"/>
        <v>108</v>
      </c>
      <c r="Q54" s="37"/>
      <c r="R54" s="38"/>
      <c r="S54" s="37"/>
      <c r="T54" s="38"/>
      <c r="U54" s="37"/>
      <c r="V54" s="38"/>
      <c r="W54" s="29">
        <f t="shared" si="0"/>
        <v>0</v>
      </c>
      <c r="X54" s="25">
        <v>4</v>
      </c>
      <c r="Y54" s="38">
        <v>18</v>
      </c>
      <c r="Z54" s="37"/>
      <c r="AA54" s="38"/>
      <c r="AB54" s="37"/>
      <c r="AC54" s="38"/>
      <c r="AD54" s="30">
        <f t="shared" si="3"/>
        <v>72</v>
      </c>
      <c r="AE54" s="40">
        <f t="shared" si="4"/>
        <v>180</v>
      </c>
    </row>
    <row r="55" spans="1:31">
      <c r="A55" s="24" t="s">
        <v>154</v>
      </c>
      <c r="B55" s="42"/>
      <c r="C55" s="25"/>
      <c r="D55" s="26"/>
      <c r="E55" s="25"/>
      <c r="F55" s="26"/>
      <c r="G55" s="25"/>
      <c r="H55" s="26"/>
      <c r="I55" s="27"/>
      <c r="J55" s="25"/>
      <c r="K55" s="26"/>
      <c r="L55" s="25"/>
      <c r="M55" s="26"/>
      <c r="N55" s="25"/>
      <c r="O55" s="26"/>
      <c r="P55" s="28">
        <f t="shared" si="2"/>
        <v>0</v>
      </c>
      <c r="Q55" s="25"/>
      <c r="R55" s="26"/>
      <c r="S55" s="25"/>
      <c r="T55" s="26"/>
      <c r="U55" s="25"/>
      <c r="V55" s="26"/>
      <c r="W55" s="29">
        <f t="shared" si="0"/>
        <v>0</v>
      </c>
      <c r="X55" s="25"/>
      <c r="Y55" s="26"/>
      <c r="Z55" s="25"/>
      <c r="AA55" s="26"/>
      <c r="AB55" s="25"/>
      <c r="AC55" s="26"/>
      <c r="AD55" s="30"/>
      <c r="AE55" s="31">
        <f t="shared" si="4"/>
        <v>0</v>
      </c>
    </row>
    <row r="56" spans="1:31">
      <c r="A56" s="36" t="s">
        <v>155</v>
      </c>
      <c r="B56" s="43"/>
      <c r="C56" s="37"/>
      <c r="D56" s="38"/>
      <c r="E56" s="37"/>
      <c r="F56" s="38"/>
      <c r="G56" s="37"/>
      <c r="H56" s="38"/>
      <c r="I56" s="39"/>
      <c r="J56" s="25">
        <v>10</v>
      </c>
      <c r="K56" s="38">
        <v>600</v>
      </c>
      <c r="L56" s="37"/>
      <c r="M56" s="38"/>
      <c r="N56" s="37"/>
      <c r="O56" s="38"/>
      <c r="P56" s="39">
        <f t="shared" si="2"/>
        <v>6000</v>
      </c>
      <c r="Q56" s="37"/>
      <c r="R56" s="38"/>
      <c r="S56" s="25">
        <v>20</v>
      </c>
      <c r="T56" s="38">
        <v>600</v>
      </c>
      <c r="U56" s="37"/>
      <c r="V56" s="38"/>
      <c r="W56" s="29">
        <f t="shared" si="0"/>
        <v>12000</v>
      </c>
      <c r="X56" s="37"/>
      <c r="Y56" s="38"/>
      <c r="Z56" s="37"/>
      <c r="AA56" s="38"/>
      <c r="AB56" s="25">
        <v>20</v>
      </c>
      <c r="AC56" s="38">
        <v>600</v>
      </c>
      <c r="AD56" s="39"/>
      <c r="AE56" s="40">
        <f t="shared" si="4"/>
        <v>18000</v>
      </c>
    </row>
    <row r="57" spans="1:31">
      <c r="A57" s="24" t="s">
        <v>156</v>
      </c>
      <c r="B57" s="42"/>
      <c r="C57" s="25"/>
      <c r="D57" s="26"/>
      <c r="E57" s="25">
        <v>5</v>
      </c>
      <c r="F57" s="26">
        <v>600</v>
      </c>
      <c r="G57" s="25"/>
      <c r="H57" s="26"/>
      <c r="I57" s="27"/>
      <c r="J57" s="37">
        <v>10</v>
      </c>
      <c r="K57" s="26">
        <v>600</v>
      </c>
      <c r="L57" s="25"/>
      <c r="M57" s="26"/>
      <c r="N57" s="25"/>
      <c r="O57" s="26"/>
      <c r="P57" s="28">
        <f t="shared" si="2"/>
        <v>6000</v>
      </c>
      <c r="Q57" s="25"/>
      <c r="R57" s="26"/>
      <c r="S57" s="37">
        <v>20</v>
      </c>
      <c r="T57" s="26">
        <v>600</v>
      </c>
      <c r="U57" s="25"/>
      <c r="V57" s="26"/>
      <c r="W57" s="29">
        <f t="shared" si="0"/>
        <v>12000</v>
      </c>
      <c r="X57" s="25"/>
      <c r="Y57" s="26"/>
      <c r="Z57" s="25"/>
      <c r="AA57" s="26"/>
      <c r="AB57" s="37">
        <v>20</v>
      </c>
      <c r="AC57" s="26">
        <v>600</v>
      </c>
      <c r="AD57" s="30"/>
      <c r="AE57" s="31">
        <f t="shared" si="4"/>
        <v>18000</v>
      </c>
    </row>
    <row r="58" spans="1:31">
      <c r="A58" s="36" t="s">
        <v>157</v>
      </c>
      <c r="B58" s="43"/>
      <c r="C58" s="37"/>
      <c r="D58" s="38"/>
      <c r="E58" s="37"/>
      <c r="F58" s="38"/>
      <c r="G58" s="37"/>
      <c r="H58" s="38"/>
      <c r="I58" s="39"/>
      <c r="J58" s="37"/>
      <c r="K58" s="38"/>
      <c r="L58" s="37"/>
      <c r="M58" s="38"/>
      <c r="N58" s="37"/>
      <c r="O58" s="38"/>
      <c r="P58" s="39">
        <f t="shared" si="2"/>
        <v>0</v>
      </c>
      <c r="Q58" s="37"/>
      <c r="R58" s="38"/>
      <c r="S58" s="37">
        <v>10</v>
      </c>
      <c r="T58" s="38">
        <v>90</v>
      </c>
      <c r="U58" s="37"/>
      <c r="V58" s="38"/>
      <c r="W58" s="29">
        <f t="shared" si="0"/>
        <v>900</v>
      </c>
      <c r="X58" s="37"/>
      <c r="Y58" s="38"/>
      <c r="Z58" s="37"/>
      <c r="AA58" s="38"/>
      <c r="AB58" s="37">
        <v>10</v>
      </c>
      <c r="AC58" s="38">
        <v>90</v>
      </c>
      <c r="AD58" s="39"/>
      <c r="AE58" s="40">
        <f t="shared" si="4"/>
        <v>900</v>
      </c>
    </row>
    <row r="59" spans="1:31">
      <c r="A59" s="24" t="s">
        <v>158</v>
      </c>
      <c r="B59" s="42"/>
      <c r="C59" s="25"/>
      <c r="D59" s="26"/>
      <c r="E59" s="25"/>
      <c r="F59" s="26"/>
      <c r="G59" s="25"/>
      <c r="H59" s="26"/>
      <c r="I59" s="27"/>
      <c r="J59" s="25"/>
      <c r="K59" s="26"/>
      <c r="L59" s="25"/>
      <c r="M59" s="26"/>
      <c r="N59" s="25"/>
      <c r="O59" s="26"/>
      <c r="P59" s="28">
        <f t="shared" si="2"/>
        <v>0</v>
      </c>
      <c r="Q59" s="25"/>
      <c r="R59" s="26"/>
      <c r="S59" s="25">
        <v>10</v>
      </c>
      <c r="T59" s="26">
        <v>90</v>
      </c>
      <c r="U59" s="25"/>
      <c r="V59" s="26"/>
      <c r="W59" s="29">
        <f t="shared" si="0"/>
        <v>900</v>
      </c>
      <c r="X59" s="25"/>
      <c r="Y59" s="26"/>
      <c r="Z59" s="25"/>
      <c r="AA59" s="26"/>
      <c r="AB59" s="25">
        <v>10</v>
      </c>
      <c r="AC59" s="26">
        <v>90</v>
      </c>
      <c r="AD59" s="30"/>
      <c r="AE59" s="31">
        <f t="shared" si="4"/>
        <v>900</v>
      </c>
    </row>
    <row r="60" spans="1:31">
      <c r="A60" s="36" t="s">
        <v>159</v>
      </c>
      <c r="B60" s="43"/>
      <c r="C60" s="37"/>
      <c r="D60" s="38"/>
      <c r="E60" s="37"/>
      <c r="F60" s="38">
        <v>7.2</v>
      </c>
      <c r="G60" s="37"/>
      <c r="H60" s="38"/>
      <c r="I60" s="39">
        <f t="shared" si="1"/>
        <v>0</v>
      </c>
      <c r="J60" s="37"/>
      <c r="K60" s="38">
        <v>7.2</v>
      </c>
      <c r="L60" s="37"/>
      <c r="M60" s="38"/>
      <c r="N60" s="37">
        <v>300</v>
      </c>
      <c r="O60" s="38">
        <v>7.2</v>
      </c>
      <c r="P60" s="39">
        <f t="shared" si="2"/>
        <v>2160</v>
      </c>
      <c r="Q60" s="37"/>
      <c r="R60" s="38"/>
      <c r="S60" s="37">
        <v>300</v>
      </c>
      <c r="T60" s="38">
        <v>7.2</v>
      </c>
      <c r="U60" s="37"/>
      <c r="V60" s="38"/>
      <c r="W60" s="29">
        <f t="shared" si="0"/>
        <v>2160</v>
      </c>
      <c r="X60" s="37">
        <v>300</v>
      </c>
      <c r="Y60" s="38">
        <v>7.2</v>
      </c>
      <c r="Z60" s="37"/>
      <c r="AA60" s="38"/>
      <c r="AB60" s="37">
        <v>300</v>
      </c>
      <c r="AC60" s="38">
        <v>7.2</v>
      </c>
      <c r="AD60" s="39">
        <f t="shared" si="3"/>
        <v>4320</v>
      </c>
      <c r="AE60" s="40">
        <f t="shared" si="4"/>
        <v>8640</v>
      </c>
    </row>
    <row r="61" spans="1:31">
      <c r="A61" s="24" t="s">
        <v>160</v>
      </c>
      <c r="B61" s="42"/>
      <c r="C61" s="25"/>
      <c r="D61" s="26"/>
      <c r="E61" s="25"/>
      <c r="F61" s="26">
        <v>7.2</v>
      </c>
      <c r="G61" s="25"/>
      <c r="H61" s="26"/>
      <c r="I61" s="27">
        <f t="shared" si="1"/>
        <v>0</v>
      </c>
      <c r="J61" s="25"/>
      <c r="K61" s="26">
        <v>7.2</v>
      </c>
      <c r="L61" s="25"/>
      <c r="M61" s="26"/>
      <c r="N61" s="25">
        <v>200</v>
      </c>
      <c r="O61" s="26">
        <v>7.2</v>
      </c>
      <c r="P61" s="28">
        <f t="shared" si="2"/>
        <v>1440</v>
      </c>
      <c r="Q61" s="25"/>
      <c r="R61" s="26"/>
      <c r="S61" s="25">
        <v>200</v>
      </c>
      <c r="T61" s="26">
        <v>7.2</v>
      </c>
      <c r="U61" s="25"/>
      <c r="V61" s="26"/>
      <c r="W61" s="29">
        <f t="shared" si="0"/>
        <v>1440</v>
      </c>
      <c r="X61" s="25">
        <v>200</v>
      </c>
      <c r="Y61" s="26">
        <v>7.2</v>
      </c>
      <c r="Z61" s="25"/>
      <c r="AA61" s="26"/>
      <c r="AB61" s="25">
        <v>200</v>
      </c>
      <c r="AC61" s="26">
        <v>7.2</v>
      </c>
      <c r="AD61" s="30">
        <f t="shared" si="3"/>
        <v>2880</v>
      </c>
      <c r="AE61" s="31">
        <f t="shared" si="4"/>
        <v>5760</v>
      </c>
    </row>
    <row r="62" spans="1:31">
      <c r="A62" s="77" t="s">
        <v>161</v>
      </c>
      <c r="B62" s="42"/>
      <c r="C62" s="25"/>
      <c r="D62" s="26"/>
      <c r="E62" s="25">
        <v>300</v>
      </c>
      <c r="F62" s="26">
        <v>7.2</v>
      </c>
      <c r="G62" s="25"/>
      <c r="H62" s="26"/>
      <c r="I62" s="27"/>
      <c r="J62" s="25"/>
      <c r="K62" s="26"/>
      <c r="L62" s="25"/>
      <c r="M62" s="26"/>
      <c r="N62" s="25"/>
      <c r="O62" s="26"/>
      <c r="P62" s="28"/>
      <c r="Q62" s="25"/>
      <c r="R62" s="26"/>
      <c r="S62" s="25"/>
      <c r="T62" s="26"/>
      <c r="U62" s="25"/>
      <c r="V62" s="26"/>
      <c r="W62" s="29"/>
      <c r="X62" s="25"/>
      <c r="Y62" s="26"/>
      <c r="Z62" s="25"/>
      <c r="AA62" s="26"/>
      <c r="AB62" s="25"/>
      <c r="AC62" s="26"/>
      <c r="AD62" s="30"/>
      <c r="AE62" s="31"/>
    </row>
    <row r="63" spans="1:31">
      <c r="A63" s="36" t="s">
        <v>162</v>
      </c>
      <c r="B63" s="43"/>
      <c r="C63" s="37"/>
      <c r="D63" s="38"/>
      <c r="E63" s="37">
        <v>3000</v>
      </c>
      <c r="F63" s="38">
        <v>6.3</v>
      </c>
      <c r="G63" s="37"/>
      <c r="H63" s="38"/>
      <c r="I63" s="39">
        <f t="shared" si="1"/>
        <v>18900</v>
      </c>
      <c r="J63" s="37"/>
      <c r="K63" s="38">
        <v>6.3</v>
      </c>
      <c r="L63" s="37"/>
      <c r="M63" s="38"/>
      <c r="N63" s="37">
        <v>2000</v>
      </c>
      <c r="O63" s="38">
        <v>6.3</v>
      </c>
      <c r="P63" s="39">
        <f t="shared" si="2"/>
        <v>12600</v>
      </c>
      <c r="Q63" s="37"/>
      <c r="R63" s="38"/>
      <c r="S63" s="37">
        <v>2000</v>
      </c>
      <c r="T63" s="38">
        <v>6.3</v>
      </c>
      <c r="U63" s="37"/>
      <c r="V63" s="38"/>
      <c r="W63" s="29">
        <f t="shared" si="0"/>
        <v>12600</v>
      </c>
      <c r="X63" s="37">
        <v>2000</v>
      </c>
      <c r="Y63" s="38">
        <v>6.3</v>
      </c>
      <c r="Z63" s="37"/>
      <c r="AA63" s="38"/>
      <c r="AB63" s="37">
        <v>2000</v>
      </c>
      <c r="AC63" s="38">
        <v>6.3</v>
      </c>
      <c r="AD63" s="39">
        <f t="shared" si="3"/>
        <v>25200</v>
      </c>
      <c r="AE63" s="40">
        <f t="shared" si="4"/>
        <v>69300</v>
      </c>
    </row>
    <row r="64" spans="1:31">
      <c r="A64" s="24" t="s">
        <v>163</v>
      </c>
      <c r="B64" s="42"/>
      <c r="C64" s="25"/>
      <c r="D64" s="26"/>
      <c r="E64" s="25">
        <v>500</v>
      </c>
      <c r="F64" s="26">
        <v>6.3</v>
      </c>
      <c r="G64" s="25"/>
      <c r="H64" s="26"/>
      <c r="I64" s="27">
        <f t="shared" si="1"/>
        <v>3150</v>
      </c>
      <c r="J64" s="25"/>
      <c r="K64" s="26">
        <v>6.3</v>
      </c>
      <c r="L64" s="25"/>
      <c r="M64" s="26"/>
      <c r="N64" s="25">
        <v>500</v>
      </c>
      <c r="O64" s="26">
        <v>6.3</v>
      </c>
      <c r="P64" s="28">
        <f t="shared" si="2"/>
        <v>3150</v>
      </c>
      <c r="Q64" s="25"/>
      <c r="R64" s="26"/>
      <c r="S64" s="25">
        <v>500</v>
      </c>
      <c r="T64" s="26">
        <v>6.3</v>
      </c>
      <c r="U64" s="25"/>
      <c r="V64" s="26"/>
      <c r="W64" s="29">
        <f t="shared" si="0"/>
        <v>3150</v>
      </c>
      <c r="X64" s="25">
        <v>500</v>
      </c>
      <c r="Y64" s="26">
        <v>6.3</v>
      </c>
      <c r="Z64" s="25"/>
      <c r="AA64" s="26"/>
      <c r="AB64" s="25">
        <v>500</v>
      </c>
      <c r="AC64" s="26">
        <v>6.3</v>
      </c>
      <c r="AD64" s="30">
        <f t="shared" si="3"/>
        <v>6300</v>
      </c>
      <c r="AE64" s="31">
        <f t="shared" si="4"/>
        <v>15750</v>
      </c>
    </row>
    <row r="65" spans="1:31">
      <c r="A65" s="36" t="s">
        <v>164</v>
      </c>
      <c r="B65" s="43"/>
      <c r="C65" s="37"/>
      <c r="D65" s="38"/>
      <c r="E65" s="37"/>
      <c r="F65" s="38">
        <v>36</v>
      </c>
      <c r="G65" s="37"/>
      <c r="H65" s="38"/>
      <c r="I65" s="39">
        <f t="shared" si="1"/>
        <v>0</v>
      </c>
      <c r="J65" s="37">
        <v>80</v>
      </c>
      <c r="K65" s="38">
        <v>36</v>
      </c>
      <c r="L65" s="37"/>
      <c r="M65" s="38"/>
      <c r="N65" s="37">
        <v>80</v>
      </c>
      <c r="O65" s="38">
        <v>36</v>
      </c>
      <c r="P65" s="39">
        <f t="shared" si="2"/>
        <v>5760</v>
      </c>
      <c r="Q65" s="37"/>
      <c r="R65" s="38"/>
      <c r="S65" s="37">
        <v>80</v>
      </c>
      <c r="T65" s="38">
        <v>36</v>
      </c>
      <c r="U65" s="37"/>
      <c r="V65" s="38"/>
      <c r="W65" s="29">
        <f t="shared" si="0"/>
        <v>2880</v>
      </c>
      <c r="X65" s="37">
        <v>80</v>
      </c>
      <c r="Y65" s="38">
        <v>36</v>
      </c>
      <c r="Z65" s="37"/>
      <c r="AA65" s="38"/>
      <c r="AB65" s="37">
        <v>80</v>
      </c>
      <c r="AC65" s="38">
        <v>36</v>
      </c>
      <c r="AD65" s="39">
        <f t="shared" si="3"/>
        <v>5760</v>
      </c>
      <c r="AE65" s="40">
        <f t="shared" si="4"/>
        <v>14400</v>
      </c>
    </row>
    <row r="66" spans="1:31">
      <c r="A66" s="24" t="s">
        <v>165</v>
      </c>
      <c r="B66" s="42"/>
      <c r="C66" s="25"/>
      <c r="D66" s="26"/>
      <c r="E66" s="25"/>
      <c r="F66" s="38">
        <v>36</v>
      </c>
      <c r="G66" s="25"/>
      <c r="H66" s="26"/>
      <c r="I66" s="27">
        <f t="shared" si="1"/>
        <v>0</v>
      </c>
      <c r="J66" s="25">
        <v>100</v>
      </c>
      <c r="K66" s="38">
        <v>36</v>
      </c>
      <c r="L66" s="25"/>
      <c r="M66" s="26"/>
      <c r="N66" s="25">
        <v>100</v>
      </c>
      <c r="O66" s="38">
        <v>36</v>
      </c>
      <c r="P66" s="28">
        <f t="shared" si="2"/>
        <v>7200</v>
      </c>
      <c r="Q66" s="25"/>
      <c r="R66" s="26"/>
      <c r="S66" s="25">
        <v>100</v>
      </c>
      <c r="T66" s="38">
        <v>36</v>
      </c>
      <c r="U66" s="25"/>
      <c r="V66" s="26"/>
      <c r="W66" s="29">
        <f t="shared" si="0"/>
        <v>3600</v>
      </c>
      <c r="X66" s="25">
        <v>100</v>
      </c>
      <c r="Y66" s="38">
        <v>36</v>
      </c>
      <c r="Z66" s="25"/>
      <c r="AA66" s="26"/>
      <c r="AB66" s="25">
        <v>100</v>
      </c>
      <c r="AC66" s="38">
        <v>36</v>
      </c>
      <c r="AD66" s="30">
        <f t="shared" si="3"/>
        <v>7200</v>
      </c>
      <c r="AE66" s="31">
        <f t="shared" si="4"/>
        <v>18000</v>
      </c>
    </row>
    <row r="67" spans="1:31">
      <c r="A67" s="36" t="s">
        <v>166</v>
      </c>
      <c r="B67" s="43"/>
      <c r="C67" s="37"/>
      <c r="D67" s="38"/>
      <c r="E67" s="37"/>
      <c r="F67" s="38">
        <v>36</v>
      </c>
      <c r="G67" s="37"/>
      <c r="H67" s="38"/>
      <c r="I67" s="39">
        <f t="shared" si="1"/>
        <v>0</v>
      </c>
      <c r="J67" s="37">
        <v>100</v>
      </c>
      <c r="K67" s="38">
        <v>36</v>
      </c>
      <c r="L67" s="37"/>
      <c r="M67" s="38"/>
      <c r="N67" s="37">
        <v>100</v>
      </c>
      <c r="O67" s="38">
        <v>36</v>
      </c>
      <c r="P67" s="39">
        <f t="shared" si="2"/>
        <v>7200</v>
      </c>
      <c r="Q67" s="37"/>
      <c r="R67" s="38"/>
      <c r="S67" s="37">
        <v>100</v>
      </c>
      <c r="T67" s="38">
        <v>36</v>
      </c>
      <c r="U67" s="37"/>
      <c r="V67" s="38"/>
      <c r="W67" s="29">
        <f t="shared" si="0"/>
        <v>3600</v>
      </c>
      <c r="X67" s="37">
        <v>100</v>
      </c>
      <c r="Y67" s="38">
        <v>36</v>
      </c>
      <c r="Z67" s="37"/>
      <c r="AA67" s="38"/>
      <c r="AB67" s="37">
        <v>100</v>
      </c>
      <c r="AC67" s="38">
        <v>36</v>
      </c>
      <c r="AD67" s="39">
        <f t="shared" si="3"/>
        <v>7200</v>
      </c>
      <c r="AE67" s="40">
        <f t="shared" si="4"/>
        <v>18000</v>
      </c>
    </row>
    <row r="68" spans="1:31">
      <c r="A68" s="24" t="s">
        <v>167</v>
      </c>
      <c r="B68" s="42"/>
      <c r="C68" s="25"/>
      <c r="D68" s="26"/>
      <c r="E68" s="25"/>
      <c r="F68" s="38">
        <v>36</v>
      </c>
      <c r="G68" s="25"/>
      <c r="H68" s="26"/>
      <c r="I68" s="27">
        <f t="shared" si="1"/>
        <v>0</v>
      </c>
      <c r="J68" s="25">
        <v>60</v>
      </c>
      <c r="K68" s="38">
        <v>36</v>
      </c>
      <c r="L68" s="25"/>
      <c r="M68" s="26"/>
      <c r="N68" s="25">
        <v>60</v>
      </c>
      <c r="O68" s="38">
        <v>36</v>
      </c>
      <c r="P68" s="28">
        <f t="shared" si="2"/>
        <v>4320</v>
      </c>
      <c r="Q68" s="25"/>
      <c r="R68" s="26"/>
      <c r="S68" s="25">
        <v>60</v>
      </c>
      <c r="T68" s="38">
        <v>36</v>
      </c>
      <c r="U68" s="25"/>
      <c r="V68" s="26"/>
      <c r="W68" s="29">
        <f t="shared" si="0"/>
        <v>2160</v>
      </c>
      <c r="X68" s="25">
        <v>60</v>
      </c>
      <c r="Y68" s="38">
        <v>36</v>
      </c>
      <c r="Z68" s="25"/>
      <c r="AA68" s="26"/>
      <c r="AB68" s="25">
        <v>60</v>
      </c>
      <c r="AC68" s="38">
        <v>36</v>
      </c>
      <c r="AD68" s="30">
        <f t="shared" si="3"/>
        <v>4320</v>
      </c>
      <c r="AE68" s="31">
        <f t="shared" si="4"/>
        <v>10800</v>
      </c>
    </row>
    <row r="69" spans="1:31">
      <c r="A69" s="36" t="s">
        <v>168</v>
      </c>
      <c r="B69" s="43"/>
      <c r="C69" s="37"/>
      <c r="D69" s="38"/>
      <c r="E69" s="37"/>
      <c r="F69" s="38"/>
      <c r="G69" s="37"/>
      <c r="H69" s="38"/>
      <c r="I69" s="39">
        <f t="shared" si="1"/>
        <v>0</v>
      </c>
      <c r="J69" s="37">
        <v>0</v>
      </c>
      <c r="K69" s="38"/>
      <c r="L69" s="37"/>
      <c r="M69" s="38"/>
      <c r="N69" s="37">
        <v>25</v>
      </c>
      <c r="O69" s="38">
        <v>47</v>
      </c>
      <c r="P69" s="39">
        <f t="shared" si="2"/>
        <v>1175</v>
      </c>
      <c r="Q69" s="37"/>
      <c r="R69" s="38"/>
      <c r="S69" s="37">
        <v>0</v>
      </c>
      <c r="T69" s="38"/>
      <c r="U69" s="37"/>
      <c r="V69" s="38"/>
      <c r="W69" s="29">
        <f t="shared" si="0"/>
        <v>0</v>
      </c>
      <c r="X69" s="37">
        <v>25</v>
      </c>
      <c r="Y69" s="38"/>
      <c r="Z69" s="37"/>
      <c r="AA69" s="38"/>
      <c r="AB69" s="37">
        <v>0</v>
      </c>
      <c r="AC69" s="38"/>
      <c r="AD69" s="39">
        <f t="shared" si="3"/>
        <v>0</v>
      </c>
      <c r="AE69" s="40">
        <f t="shared" si="4"/>
        <v>1175</v>
      </c>
    </row>
    <row r="70" spans="1:31">
      <c r="A70" s="76" t="s">
        <v>169</v>
      </c>
      <c r="B70" s="43"/>
      <c r="C70" s="37"/>
      <c r="D70" s="38"/>
      <c r="E70" s="37"/>
      <c r="F70" s="38"/>
      <c r="G70" s="37"/>
      <c r="H70" s="38"/>
      <c r="I70" s="39"/>
      <c r="J70" s="37">
        <v>50</v>
      </c>
      <c r="K70" s="38">
        <v>47</v>
      </c>
      <c r="L70" s="37"/>
      <c r="M70" s="38"/>
      <c r="N70" s="37"/>
      <c r="O70" s="38"/>
      <c r="P70" s="39"/>
      <c r="Q70" s="37"/>
      <c r="R70" s="38"/>
      <c r="S70" s="37"/>
      <c r="T70" s="38"/>
      <c r="U70" s="37"/>
      <c r="V70" s="38"/>
      <c r="W70" s="29"/>
      <c r="X70" s="37"/>
      <c r="Y70" s="38"/>
      <c r="Z70" s="37"/>
      <c r="AA70" s="38"/>
      <c r="AB70" s="37"/>
      <c r="AC70" s="38"/>
      <c r="AD70" s="39"/>
      <c r="AE70" s="40"/>
    </row>
    <row r="71" spans="1:31">
      <c r="A71" s="24" t="s">
        <v>170</v>
      </c>
      <c r="B71" s="42"/>
      <c r="C71" s="25"/>
      <c r="D71" s="26"/>
      <c r="E71" s="25">
        <v>50</v>
      </c>
      <c r="F71" s="26">
        <v>47</v>
      </c>
      <c r="G71" s="25"/>
      <c r="H71" s="26"/>
      <c r="I71" s="27">
        <f t="shared" si="1"/>
        <v>2350</v>
      </c>
      <c r="J71" s="25"/>
      <c r="K71" s="26"/>
      <c r="L71" s="25"/>
      <c r="M71" s="26"/>
      <c r="N71" s="25">
        <v>50</v>
      </c>
      <c r="O71" s="26">
        <v>47</v>
      </c>
      <c r="P71" s="28">
        <f t="shared" si="2"/>
        <v>2350</v>
      </c>
      <c r="Q71" s="25"/>
      <c r="R71" s="26"/>
      <c r="S71" s="25">
        <v>0</v>
      </c>
      <c r="T71" s="26"/>
      <c r="U71" s="25"/>
      <c r="V71" s="26"/>
      <c r="W71" s="29">
        <f t="shared" si="0"/>
        <v>0</v>
      </c>
      <c r="X71" s="25">
        <v>50</v>
      </c>
      <c r="Y71" s="26"/>
      <c r="Z71" s="25"/>
      <c r="AA71" s="26"/>
      <c r="AB71" s="25">
        <v>0</v>
      </c>
      <c r="AC71" s="26"/>
      <c r="AD71" s="30">
        <f t="shared" si="3"/>
        <v>0</v>
      </c>
      <c r="AE71" s="31">
        <f t="shared" si="4"/>
        <v>4700</v>
      </c>
    </row>
    <row r="72" spans="1:31">
      <c r="A72" s="36" t="s">
        <v>171</v>
      </c>
      <c r="B72" s="43"/>
      <c r="C72" s="37"/>
      <c r="D72" s="38"/>
      <c r="E72" s="37">
        <v>0</v>
      </c>
      <c r="F72" s="38">
        <v>65</v>
      </c>
      <c r="G72" s="37"/>
      <c r="H72" s="38"/>
      <c r="I72" s="39">
        <f t="shared" ref="I72:I140" si="5">(C72*D72)+(E72*F72)+(G72*H72)</f>
        <v>0</v>
      </c>
      <c r="J72" s="37">
        <v>5</v>
      </c>
      <c r="K72" s="38">
        <v>65</v>
      </c>
      <c r="L72" s="37"/>
      <c r="M72" s="38"/>
      <c r="N72" s="37">
        <v>5</v>
      </c>
      <c r="O72" s="38">
        <v>65</v>
      </c>
      <c r="P72" s="39">
        <f t="shared" si="2"/>
        <v>650</v>
      </c>
      <c r="Q72" s="37"/>
      <c r="R72" s="38"/>
      <c r="S72" s="37">
        <v>5</v>
      </c>
      <c r="T72" s="38">
        <v>65</v>
      </c>
      <c r="U72" s="37"/>
      <c r="V72" s="38"/>
      <c r="W72" s="29">
        <f t="shared" ref="W72:W140" si="6">(Q72*R72)+(S72*T72)+(U72*V72)</f>
        <v>325</v>
      </c>
      <c r="X72" s="37">
        <v>5</v>
      </c>
      <c r="Y72" s="38">
        <v>65</v>
      </c>
      <c r="Z72" s="37"/>
      <c r="AA72" s="38"/>
      <c r="AB72" s="37">
        <v>5</v>
      </c>
      <c r="AC72" s="38">
        <v>65</v>
      </c>
      <c r="AD72" s="39">
        <f t="shared" ref="AD72:AD140" si="7">(X72*Y72)+(Z72*AA72)+(AB72*AC72)</f>
        <v>650</v>
      </c>
      <c r="AE72" s="40">
        <f t="shared" ref="AE72:AE140" si="8">AD72+W72+P72+I72</f>
        <v>1625</v>
      </c>
    </row>
    <row r="73" spans="1:31">
      <c r="A73" s="24" t="s">
        <v>172</v>
      </c>
      <c r="B73" s="42"/>
      <c r="C73" s="25"/>
      <c r="D73" s="26"/>
      <c r="E73" s="25">
        <v>0</v>
      </c>
      <c r="F73" s="26">
        <v>75</v>
      </c>
      <c r="G73" s="25"/>
      <c r="H73" s="26"/>
      <c r="I73" s="27">
        <f t="shared" si="5"/>
        <v>0</v>
      </c>
      <c r="J73" s="25">
        <v>50</v>
      </c>
      <c r="K73" s="26">
        <v>75</v>
      </c>
      <c r="L73" s="25"/>
      <c r="M73" s="26"/>
      <c r="N73" s="25">
        <v>50</v>
      </c>
      <c r="O73" s="26">
        <v>75</v>
      </c>
      <c r="P73" s="28">
        <f t="shared" ref="P73:P141" si="9">(J73*K73)+(L73*M73)+(N73*O73)</f>
        <v>7500</v>
      </c>
      <c r="Q73" s="25"/>
      <c r="R73" s="26"/>
      <c r="S73" s="25">
        <v>50</v>
      </c>
      <c r="T73" s="26">
        <v>75</v>
      </c>
      <c r="U73" s="25"/>
      <c r="V73" s="26"/>
      <c r="W73" s="29">
        <f t="shared" si="6"/>
        <v>3750</v>
      </c>
      <c r="X73" s="25">
        <v>50</v>
      </c>
      <c r="Y73" s="26">
        <v>75</v>
      </c>
      <c r="Z73" s="25"/>
      <c r="AA73" s="26"/>
      <c r="AB73" s="25">
        <v>50</v>
      </c>
      <c r="AC73" s="26">
        <v>75</v>
      </c>
      <c r="AD73" s="30">
        <f t="shared" si="7"/>
        <v>7500</v>
      </c>
      <c r="AE73" s="31">
        <f t="shared" si="8"/>
        <v>18750</v>
      </c>
    </row>
    <row r="74" spans="1:31">
      <c r="A74" s="36" t="s">
        <v>173</v>
      </c>
      <c r="B74" s="43"/>
      <c r="C74" s="37"/>
      <c r="D74" s="38"/>
      <c r="E74" s="37"/>
      <c r="F74" s="38"/>
      <c r="G74" s="37"/>
      <c r="H74" s="38"/>
      <c r="I74" s="39">
        <f t="shared" si="5"/>
        <v>0</v>
      </c>
      <c r="J74" s="37">
        <v>10</v>
      </c>
      <c r="K74" s="38">
        <v>65</v>
      </c>
      <c r="L74" s="37"/>
      <c r="M74" s="38"/>
      <c r="N74" s="37">
        <v>10</v>
      </c>
      <c r="O74" s="38">
        <v>65</v>
      </c>
      <c r="P74" s="39">
        <f t="shared" si="9"/>
        <v>1300</v>
      </c>
      <c r="Q74" s="37"/>
      <c r="R74" s="38"/>
      <c r="S74" s="37"/>
      <c r="T74" s="38"/>
      <c r="U74" s="37"/>
      <c r="V74" s="38"/>
      <c r="W74" s="29">
        <f t="shared" si="6"/>
        <v>0</v>
      </c>
      <c r="X74" s="37">
        <v>10</v>
      </c>
      <c r="Y74" s="38">
        <v>65</v>
      </c>
      <c r="Z74" s="37"/>
      <c r="AA74" s="38"/>
      <c r="AB74" s="37"/>
      <c r="AC74" s="38"/>
      <c r="AD74" s="39">
        <f t="shared" si="7"/>
        <v>650</v>
      </c>
      <c r="AE74" s="40">
        <f t="shared" si="8"/>
        <v>1950</v>
      </c>
    </row>
    <row r="75" spans="1:31">
      <c r="A75" s="24" t="s">
        <v>174</v>
      </c>
      <c r="B75" s="42"/>
      <c r="C75" s="25"/>
      <c r="D75" s="26"/>
      <c r="E75" s="25">
        <v>130</v>
      </c>
      <c r="F75" s="26">
        <v>75</v>
      </c>
      <c r="G75" s="25"/>
      <c r="H75" s="26"/>
      <c r="I75" s="27">
        <f t="shared" si="5"/>
        <v>9750</v>
      </c>
      <c r="J75" s="25">
        <v>50</v>
      </c>
      <c r="K75" s="26">
        <v>75</v>
      </c>
      <c r="L75" s="25"/>
      <c r="M75" s="26"/>
      <c r="N75" s="25">
        <v>50</v>
      </c>
      <c r="O75" s="26">
        <v>75</v>
      </c>
      <c r="P75" s="28">
        <f t="shared" si="9"/>
        <v>7500</v>
      </c>
      <c r="Q75" s="25"/>
      <c r="R75" s="26"/>
      <c r="S75" s="25"/>
      <c r="T75" s="26"/>
      <c r="U75" s="25"/>
      <c r="V75" s="26"/>
      <c r="W75" s="29">
        <f t="shared" si="6"/>
        <v>0</v>
      </c>
      <c r="X75" s="25">
        <v>50</v>
      </c>
      <c r="Y75" s="26">
        <v>75</v>
      </c>
      <c r="Z75" s="25"/>
      <c r="AA75" s="26"/>
      <c r="AB75" s="25"/>
      <c r="AC75" s="26"/>
      <c r="AD75" s="30">
        <f t="shared" si="7"/>
        <v>3750</v>
      </c>
      <c r="AE75" s="31">
        <f t="shared" si="8"/>
        <v>21000</v>
      </c>
    </row>
    <row r="76" spans="1:31">
      <c r="A76" s="36" t="s">
        <v>175</v>
      </c>
      <c r="B76" s="43"/>
      <c r="C76" s="37"/>
      <c r="D76" s="38"/>
      <c r="E76" s="37"/>
      <c r="F76" s="38"/>
      <c r="G76" s="37"/>
      <c r="H76" s="38"/>
      <c r="I76" s="39"/>
      <c r="J76" s="37"/>
      <c r="K76" s="38"/>
      <c r="L76" s="37"/>
      <c r="M76" s="38"/>
      <c r="N76" s="37"/>
      <c r="O76" s="38"/>
      <c r="P76" s="39">
        <f t="shared" si="9"/>
        <v>0</v>
      </c>
      <c r="Q76" s="37"/>
      <c r="R76" s="38"/>
      <c r="S76" s="37"/>
      <c r="T76" s="38"/>
      <c r="U76" s="37"/>
      <c r="V76" s="38"/>
      <c r="W76" s="29">
        <f t="shared" si="6"/>
        <v>0</v>
      </c>
      <c r="X76" s="37"/>
      <c r="Y76" s="38"/>
      <c r="Z76" s="37"/>
      <c r="AA76" s="38"/>
      <c r="AB76" s="37"/>
      <c r="AC76" s="38"/>
      <c r="AD76" s="39">
        <f t="shared" si="7"/>
        <v>0</v>
      </c>
      <c r="AE76" s="40">
        <f t="shared" si="8"/>
        <v>0</v>
      </c>
    </row>
    <row r="77" spans="1:31">
      <c r="A77" s="24" t="s">
        <v>176</v>
      </c>
      <c r="B77" s="42"/>
      <c r="C77" s="25"/>
      <c r="D77" s="26"/>
      <c r="E77" s="25"/>
      <c r="F77" s="26"/>
      <c r="G77" s="25"/>
      <c r="H77" s="26"/>
      <c r="I77" s="27"/>
      <c r="J77" s="25"/>
      <c r="K77" s="26"/>
      <c r="L77" s="25"/>
      <c r="M77" s="26"/>
      <c r="N77" s="25"/>
      <c r="O77" s="26"/>
      <c r="P77" s="28">
        <f t="shared" si="9"/>
        <v>0</v>
      </c>
      <c r="Q77" s="25"/>
      <c r="R77" s="26"/>
      <c r="S77" s="25"/>
      <c r="T77" s="26"/>
      <c r="U77" s="25"/>
      <c r="V77" s="26"/>
      <c r="W77" s="29">
        <f t="shared" si="6"/>
        <v>0</v>
      </c>
      <c r="X77" s="25"/>
      <c r="Y77" s="26"/>
      <c r="Z77" s="25"/>
      <c r="AA77" s="26"/>
      <c r="AB77" s="25"/>
      <c r="AC77" s="26"/>
      <c r="AD77" s="30">
        <f t="shared" si="7"/>
        <v>0</v>
      </c>
      <c r="AE77" s="31">
        <f t="shared" si="8"/>
        <v>0</v>
      </c>
    </row>
    <row r="78" spans="1:31">
      <c r="A78" s="36" t="s">
        <v>177</v>
      </c>
      <c r="B78" s="43"/>
      <c r="C78" s="37"/>
      <c r="D78" s="38"/>
      <c r="E78" s="37"/>
      <c r="F78" s="38"/>
      <c r="G78" s="37"/>
      <c r="H78" s="38"/>
      <c r="I78" s="39">
        <f t="shared" si="5"/>
        <v>0</v>
      </c>
      <c r="J78" s="37"/>
      <c r="K78" s="38"/>
      <c r="L78" s="37"/>
      <c r="M78" s="38"/>
      <c r="N78" s="37">
        <v>50</v>
      </c>
      <c r="O78" s="38">
        <v>180</v>
      </c>
      <c r="P78" s="39">
        <f t="shared" si="9"/>
        <v>9000</v>
      </c>
      <c r="Q78" s="37"/>
      <c r="R78" s="38"/>
      <c r="S78" s="37"/>
      <c r="T78" s="38"/>
      <c r="U78" s="37"/>
      <c r="V78" s="38"/>
      <c r="W78" s="29">
        <f t="shared" si="6"/>
        <v>0</v>
      </c>
      <c r="X78" s="37">
        <v>50</v>
      </c>
      <c r="Y78" s="38">
        <v>180</v>
      </c>
      <c r="Z78" s="37"/>
      <c r="AA78" s="38"/>
      <c r="AB78" s="37"/>
      <c r="AC78" s="38"/>
      <c r="AD78" s="39">
        <f t="shared" si="7"/>
        <v>9000</v>
      </c>
      <c r="AE78" s="40">
        <f t="shared" si="8"/>
        <v>18000</v>
      </c>
    </row>
    <row r="79" spans="1:31">
      <c r="A79" s="24" t="s">
        <v>178</v>
      </c>
      <c r="B79" s="42"/>
      <c r="C79" s="25"/>
      <c r="D79" s="26"/>
      <c r="E79" s="25"/>
      <c r="F79" s="26"/>
      <c r="G79" s="25"/>
      <c r="H79" s="26"/>
      <c r="I79" s="27">
        <f t="shared" si="5"/>
        <v>0</v>
      </c>
      <c r="J79" s="25"/>
      <c r="K79" s="26"/>
      <c r="L79" s="25"/>
      <c r="M79" s="26"/>
      <c r="N79" s="37">
        <v>50</v>
      </c>
      <c r="O79" s="38">
        <v>180</v>
      </c>
      <c r="P79" s="28">
        <f t="shared" si="9"/>
        <v>9000</v>
      </c>
      <c r="Q79" s="25"/>
      <c r="R79" s="26"/>
      <c r="S79" s="25"/>
      <c r="T79" s="26"/>
      <c r="U79" s="25"/>
      <c r="V79" s="26"/>
      <c r="W79" s="29">
        <f t="shared" si="6"/>
        <v>0</v>
      </c>
      <c r="X79" s="37">
        <v>50</v>
      </c>
      <c r="Y79" s="38">
        <v>180</v>
      </c>
      <c r="Z79" s="25"/>
      <c r="AA79" s="26"/>
      <c r="AB79" s="25"/>
      <c r="AC79" s="26"/>
      <c r="AD79" s="30">
        <f t="shared" si="7"/>
        <v>9000</v>
      </c>
      <c r="AE79" s="31">
        <f t="shared" si="8"/>
        <v>18000</v>
      </c>
    </row>
    <row r="80" spans="1:31">
      <c r="A80" s="36" t="s">
        <v>179</v>
      </c>
      <c r="B80" s="43"/>
      <c r="C80" s="37"/>
      <c r="D80" s="38"/>
      <c r="E80" s="37"/>
      <c r="F80" s="38"/>
      <c r="G80" s="37"/>
      <c r="H80" s="38"/>
      <c r="I80" s="39">
        <f t="shared" si="5"/>
        <v>0</v>
      </c>
      <c r="J80" s="37"/>
      <c r="K80" s="38"/>
      <c r="L80" s="37"/>
      <c r="M80" s="38"/>
      <c r="N80" s="37">
        <v>50</v>
      </c>
      <c r="O80" s="38">
        <v>180</v>
      </c>
      <c r="P80" s="39">
        <f t="shared" si="9"/>
        <v>9000</v>
      </c>
      <c r="Q80" s="37"/>
      <c r="R80" s="38"/>
      <c r="S80" s="37"/>
      <c r="T80" s="38"/>
      <c r="U80" s="37"/>
      <c r="V80" s="38"/>
      <c r="W80" s="29">
        <f t="shared" si="6"/>
        <v>0</v>
      </c>
      <c r="X80" s="37">
        <v>50</v>
      </c>
      <c r="Y80" s="38">
        <v>180</v>
      </c>
      <c r="Z80" s="37"/>
      <c r="AA80" s="38"/>
      <c r="AB80" s="37"/>
      <c r="AC80" s="38"/>
      <c r="AD80" s="39">
        <f t="shared" si="7"/>
        <v>9000</v>
      </c>
      <c r="AE80" s="40">
        <f t="shared" si="8"/>
        <v>18000</v>
      </c>
    </row>
    <row r="81" spans="1:31">
      <c r="A81" s="24" t="s">
        <v>180</v>
      </c>
      <c r="C81" s="25"/>
      <c r="D81" s="26"/>
      <c r="E81" s="25"/>
      <c r="F81" s="26">
        <v>4.9000000000000004</v>
      </c>
      <c r="G81" s="25"/>
      <c r="H81" s="26"/>
      <c r="I81" s="27">
        <f t="shared" si="5"/>
        <v>0</v>
      </c>
      <c r="J81" s="25">
        <v>50</v>
      </c>
      <c r="K81" s="26">
        <v>4.9000000000000004</v>
      </c>
      <c r="L81" s="25"/>
      <c r="M81" s="26"/>
      <c r="N81" s="25">
        <v>50</v>
      </c>
      <c r="O81" s="26">
        <v>4.9000000000000004</v>
      </c>
      <c r="P81" s="28">
        <f t="shared" si="9"/>
        <v>490.00000000000006</v>
      </c>
      <c r="Q81" s="25"/>
      <c r="R81" s="26"/>
      <c r="S81" s="25">
        <v>50</v>
      </c>
      <c r="T81" s="26">
        <v>4.9000000000000004</v>
      </c>
      <c r="U81" s="25"/>
      <c r="V81" s="26"/>
      <c r="W81" s="29">
        <f t="shared" si="6"/>
        <v>245.00000000000003</v>
      </c>
      <c r="X81" s="25">
        <v>50</v>
      </c>
      <c r="Y81" s="26">
        <v>4.9000000000000004</v>
      </c>
      <c r="Z81" s="25"/>
      <c r="AA81" s="26"/>
      <c r="AB81" s="25">
        <v>50</v>
      </c>
      <c r="AC81" s="26">
        <v>4.9000000000000004</v>
      </c>
      <c r="AD81" s="30">
        <f t="shared" si="7"/>
        <v>490.00000000000006</v>
      </c>
      <c r="AE81" s="31">
        <f t="shared" si="8"/>
        <v>1225.0000000000002</v>
      </c>
    </row>
    <row r="82" spans="1:31">
      <c r="A82" s="36" t="s">
        <v>181</v>
      </c>
      <c r="B82" s="43"/>
      <c r="C82" s="37"/>
      <c r="D82" s="38"/>
      <c r="E82" s="37"/>
      <c r="F82" s="26">
        <v>4.9000000000000004</v>
      </c>
      <c r="G82" s="37"/>
      <c r="H82" s="38"/>
      <c r="I82" s="39">
        <f t="shared" si="5"/>
        <v>0</v>
      </c>
      <c r="J82" s="37"/>
      <c r="K82" s="26">
        <v>4.9000000000000004</v>
      </c>
      <c r="L82" s="37"/>
      <c r="M82" s="38"/>
      <c r="N82" s="37"/>
      <c r="O82" s="26">
        <v>4.9000000000000004</v>
      </c>
      <c r="P82" s="39">
        <f t="shared" si="9"/>
        <v>0</v>
      </c>
      <c r="Q82" s="37"/>
      <c r="R82" s="38"/>
      <c r="S82" s="37"/>
      <c r="T82" s="26">
        <v>4.9000000000000004</v>
      </c>
      <c r="U82" s="37"/>
      <c r="V82" s="38"/>
      <c r="W82" s="29">
        <f t="shared" si="6"/>
        <v>0</v>
      </c>
      <c r="X82" s="37"/>
      <c r="Y82" s="26">
        <v>4.9000000000000004</v>
      </c>
      <c r="Z82" s="37"/>
      <c r="AA82" s="38"/>
      <c r="AB82" s="37"/>
      <c r="AC82" s="26">
        <v>4.9000000000000004</v>
      </c>
      <c r="AD82" s="39">
        <f t="shared" si="7"/>
        <v>0</v>
      </c>
      <c r="AE82" s="40">
        <f t="shared" si="8"/>
        <v>0</v>
      </c>
    </row>
    <row r="83" spans="1:31">
      <c r="A83" s="24" t="s">
        <v>182</v>
      </c>
      <c r="B83" s="42"/>
      <c r="C83" s="25"/>
      <c r="D83" s="26"/>
      <c r="E83" s="25">
        <v>2500</v>
      </c>
      <c r="F83" s="26">
        <v>4.9000000000000004</v>
      </c>
      <c r="G83" s="25"/>
      <c r="H83" s="26"/>
      <c r="I83" s="27">
        <f t="shared" si="5"/>
        <v>12250</v>
      </c>
      <c r="J83" s="25">
        <v>1000</v>
      </c>
      <c r="K83" s="26">
        <v>4.9000000000000004</v>
      </c>
      <c r="L83" s="25"/>
      <c r="M83" s="26"/>
      <c r="N83" s="25">
        <v>1000</v>
      </c>
      <c r="O83" s="26">
        <v>4.9000000000000004</v>
      </c>
      <c r="P83" s="28">
        <f t="shared" si="9"/>
        <v>9800</v>
      </c>
      <c r="Q83" s="25"/>
      <c r="R83" s="26"/>
      <c r="S83" s="25">
        <v>1000</v>
      </c>
      <c r="T83" s="26">
        <v>4.9000000000000004</v>
      </c>
      <c r="U83" s="25"/>
      <c r="V83" s="26"/>
      <c r="W83" s="29">
        <f t="shared" si="6"/>
        <v>4900</v>
      </c>
      <c r="X83" s="25">
        <v>1000</v>
      </c>
      <c r="Y83" s="26">
        <v>4.9000000000000004</v>
      </c>
      <c r="Z83" s="25"/>
      <c r="AA83" s="26"/>
      <c r="AB83" s="25">
        <v>1000</v>
      </c>
      <c r="AC83" s="26">
        <v>4.9000000000000004</v>
      </c>
      <c r="AD83" s="30">
        <f t="shared" si="7"/>
        <v>9800</v>
      </c>
      <c r="AE83" s="31">
        <f t="shared" si="8"/>
        <v>36750</v>
      </c>
    </row>
    <row r="84" spans="1:31">
      <c r="A84" s="36" t="s">
        <v>183</v>
      </c>
      <c r="B84" s="43"/>
      <c r="C84" s="37"/>
      <c r="D84" s="38"/>
      <c r="E84" s="37"/>
      <c r="F84" s="26">
        <v>4.9000000000000004</v>
      </c>
      <c r="G84" s="37"/>
      <c r="H84" s="38"/>
      <c r="I84" s="39">
        <f t="shared" si="5"/>
        <v>0</v>
      </c>
      <c r="J84" s="37">
        <v>100</v>
      </c>
      <c r="K84" s="26">
        <v>4.9000000000000004</v>
      </c>
      <c r="L84" s="37"/>
      <c r="M84" s="38"/>
      <c r="N84" s="37">
        <v>100</v>
      </c>
      <c r="O84" s="26">
        <v>4.9000000000000004</v>
      </c>
      <c r="P84" s="39">
        <f t="shared" si="9"/>
        <v>980.00000000000011</v>
      </c>
      <c r="Q84" s="37"/>
      <c r="R84" s="38"/>
      <c r="S84" s="37">
        <v>100</v>
      </c>
      <c r="T84" s="26">
        <v>4.9000000000000004</v>
      </c>
      <c r="U84" s="37"/>
      <c r="V84" s="38"/>
      <c r="W84" s="29">
        <f t="shared" si="6"/>
        <v>490.00000000000006</v>
      </c>
      <c r="X84" s="37">
        <v>100</v>
      </c>
      <c r="Y84" s="26">
        <v>4.9000000000000004</v>
      </c>
      <c r="Z84" s="37"/>
      <c r="AA84" s="38"/>
      <c r="AB84" s="37">
        <v>100</v>
      </c>
      <c r="AC84" s="26">
        <v>4.9000000000000004</v>
      </c>
      <c r="AD84" s="39">
        <f t="shared" si="7"/>
        <v>980.00000000000011</v>
      </c>
      <c r="AE84" s="40">
        <f t="shared" si="8"/>
        <v>2450.0000000000005</v>
      </c>
    </row>
    <row r="85" spans="1:31">
      <c r="A85" s="24" t="s">
        <v>184</v>
      </c>
      <c r="B85" s="42"/>
      <c r="C85" s="25"/>
      <c r="D85" s="26"/>
      <c r="E85" s="25"/>
      <c r="F85" s="26">
        <v>4.9000000000000004</v>
      </c>
      <c r="G85" s="25"/>
      <c r="H85" s="26"/>
      <c r="I85" s="27">
        <f t="shared" si="5"/>
        <v>0</v>
      </c>
      <c r="J85" s="25">
        <v>20</v>
      </c>
      <c r="K85" s="26">
        <v>4.9000000000000004</v>
      </c>
      <c r="L85" s="25"/>
      <c r="M85" s="26"/>
      <c r="N85" s="25">
        <v>20</v>
      </c>
      <c r="O85" s="26">
        <v>4.9000000000000004</v>
      </c>
      <c r="P85" s="28">
        <f t="shared" si="9"/>
        <v>196</v>
      </c>
      <c r="Q85" s="25"/>
      <c r="R85" s="26"/>
      <c r="S85" s="25">
        <v>20</v>
      </c>
      <c r="T85" s="26">
        <v>4.9000000000000004</v>
      </c>
      <c r="U85" s="25"/>
      <c r="V85" s="26"/>
      <c r="W85" s="29">
        <f t="shared" si="6"/>
        <v>98</v>
      </c>
      <c r="X85" s="25">
        <v>20</v>
      </c>
      <c r="Y85" s="26">
        <v>4.9000000000000004</v>
      </c>
      <c r="Z85" s="25"/>
      <c r="AA85" s="26"/>
      <c r="AB85" s="25">
        <v>20</v>
      </c>
      <c r="AC85" s="26">
        <v>4.9000000000000004</v>
      </c>
      <c r="AD85" s="30">
        <f t="shared" si="7"/>
        <v>196</v>
      </c>
      <c r="AE85" s="31">
        <f t="shared" si="8"/>
        <v>490</v>
      </c>
    </row>
    <row r="86" spans="1:31">
      <c r="A86" s="36" t="s">
        <v>185</v>
      </c>
      <c r="B86" s="43"/>
      <c r="C86" s="37"/>
      <c r="D86" s="38"/>
      <c r="E86" s="37"/>
      <c r="F86" s="26">
        <v>4.9000000000000004</v>
      </c>
      <c r="G86" s="37"/>
      <c r="H86" s="38"/>
      <c r="I86" s="39">
        <f t="shared" si="5"/>
        <v>0</v>
      </c>
      <c r="J86" s="37">
        <v>40</v>
      </c>
      <c r="K86" s="26">
        <v>4.9000000000000004</v>
      </c>
      <c r="L86" s="37"/>
      <c r="M86" s="38"/>
      <c r="N86" s="37">
        <v>40</v>
      </c>
      <c r="O86" s="26">
        <v>4.9000000000000004</v>
      </c>
      <c r="P86" s="39">
        <f t="shared" si="9"/>
        <v>392</v>
      </c>
      <c r="Q86" s="37"/>
      <c r="R86" s="38"/>
      <c r="S86" s="37">
        <v>40</v>
      </c>
      <c r="T86" s="26">
        <v>4.9000000000000004</v>
      </c>
      <c r="U86" s="37"/>
      <c r="V86" s="38"/>
      <c r="W86" s="29">
        <f t="shared" si="6"/>
        <v>196</v>
      </c>
      <c r="X86" s="37">
        <v>40</v>
      </c>
      <c r="Y86" s="26">
        <v>4.9000000000000004</v>
      </c>
      <c r="Z86" s="37"/>
      <c r="AA86" s="38"/>
      <c r="AB86" s="37">
        <v>40</v>
      </c>
      <c r="AC86" s="26">
        <v>4.9000000000000004</v>
      </c>
      <c r="AD86" s="39">
        <f t="shared" si="7"/>
        <v>392</v>
      </c>
      <c r="AE86" s="40">
        <f t="shared" si="8"/>
        <v>980</v>
      </c>
    </row>
    <row r="87" spans="1:31">
      <c r="A87" s="24" t="s">
        <v>186</v>
      </c>
      <c r="B87" s="42"/>
      <c r="C87" s="25"/>
      <c r="D87" s="26"/>
      <c r="E87" s="25"/>
      <c r="F87" s="26"/>
      <c r="G87" s="25"/>
      <c r="H87" s="26"/>
      <c r="I87" s="27">
        <f t="shared" si="5"/>
        <v>0</v>
      </c>
      <c r="J87" s="25">
        <v>600</v>
      </c>
      <c r="K87" s="26"/>
      <c r="L87" s="25"/>
      <c r="M87" s="26"/>
      <c r="N87" s="25"/>
      <c r="O87" s="26"/>
      <c r="P87" s="28">
        <f t="shared" si="9"/>
        <v>0</v>
      </c>
      <c r="Q87" s="25"/>
      <c r="R87" s="26"/>
      <c r="S87" s="25"/>
      <c r="T87" s="26"/>
      <c r="U87" s="25"/>
      <c r="V87" s="26"/>
      <c r="W87" s="29">
        <f t="shared" si="6"/>
        <v>0</v>
      </c>
      <c r="X87" s="37"/>
      <c r="Y87" s="26"/>
      <c r="Z87" s="25"/>
      <c r="AA87" s="26"/>
      <c r="AB87" s="25">
        <v>150</v>
      </c>
      <c r="AC87" s="26"/>
      <c r="AD87" s="30">
        <f t="shared" si="7"/>
        <v>0</v>
      </c>
      <c r="AE87" s="31">
        <f t="shared" si="8"/>
        <v>0</v>
      </c>
    </row>
    <row r="88" spans="1:31">
      <c r="A88" s="36" t="s">
        <v>187</v>
      </c>
      <c r="B88" s="43"/>
      <c r="C88" s="37"/>
      <c r="D88" s="38"/>
      <c r="E88" s="37">
        <v>2000</v>
      </c>
      <c r="F88" s="38">
        <v>23</v>
      </c>
      <c r="G88" s="37"/>
      <c r="H88" s="38"/>
      <c r="I88" s="39">
        <f t="shared" si="5"/>
        <v>46000</v>
      </c>
      <c r="J88" s="37">
        <v>3000</v>
      </c>
      <c r="K88" s="38">
        <v>23</v>
      </c>
      <c r="L88" s="37"/>
      <c r="M88" s="38"/>
      <c r="N88" s="37">
        <v>1000</v>
      </c>
      <c r="O88" s="38">
        <v>23</v>
      </c>
      <c r="P88" s="39">
        <f t="shared" si="9"/>
        <v>92000</v>
      </c>
      <c r="Q88" s="37"/>
      <c r="R88" s="38"/>
      <c r="S88" s="37">
        <v>1000</v>
      </c>
      <c r="T88" s="38">
        <v>23</v>
      </c>
      <c r="U88" s="37"/>
      <c r="V88" s="38"/>
      <c r="W88" s="29">
        <f t="shared" si="6"/>
        <v>23000</v>
      </c>
      <c r="X88" s="37">
        <v>1000</v>
      </c>
      <c r="Y88" s="38">
        <v>23</v>
      </c>
      <c r="Z88" s="37"/>
      <c r="AA88" s="38"/>
      <c r="AB88" s="37">
        <v>1000</v>
      </c>
      <c r="AC88" s="38">
        <v>23</v>
      </c>
      <c r="AD88" s="39">
        <f t="shared" si="7"/>
        <v>46000</v>
      </c>
      <c r="AE88" s="40">
        <f t="shared" si="8"/>
        <v>207000</v>
      </c>
    </row>
    <row r="89" spans="1:31">
      <c r="A89" s="24" t="s">
        <v>188</v>
      </c>
      <c r="B89" s="42"/>
      <c r="C89" s="25"/>
      <c r="D89" s="26"/>
      <c r="E89" s="25">
        <v>1000</v>
      </c>
      <c r="F89" s="26">
        <v>23</v>
      </c>
      <c r="G89" s="25"/>
      <c r="H89" s="26"/>
      <c r="I89" s="27">
        <f t="shared" si="5"/>
        <v>23000</v>
      </c>
      <c r="J89" s="25">
        <v>3000</v>
      </c>
      <c r="K89" s="38">
        <v>23</v>
      </c>
      <c r="L89" s="25"/>
      <c r="M89" s="26"/>
      <c r="N89" s="25">
        <v>1000</v>
      </c>
      <c r="O89" s="38">
        <v>23</v>
      </c>
      <c r="P89" s="28">
        <f t="shared" si="9"/>
        <v>92000</v>
      </c>
      <c r="Q89" s="25"/>
      <c r="R89" s="26"/>
      <c r="S89" s="25">
        <v>1000</v>
      </c>
      <c r="T89" s="38">
        <v>23</v>
      </c>
      <c r="U89" s="25"/>
      <c r="V89" s="26"/>
      <c r="W89" s="29">
        <f t="shared" si="6"/>
        <v>23000</v>
      </c>
      <c r="X89" s="25">
        <v>1000</v>
      </c>
      <c r="Y89" s="38">
        <v>23</v>
      </c>
      <c r="Z89" s="25"/>
      <c r="AA89" s="26"/>
      <c r="AB89" s="25">
        <v>1000</v>
      </c>
      <c r="AC89" s="38">
        <v>23</v>
      </c>
      <c r="AD89" s="30">
        <f t="shared" si="7"/>
        <v>46000</v>
      </c>
      <c r="AE89" s="31">
        <f t="shared" si="8"/>
        <v>184000</v>
      </c>
    </row>
    <row r="90" spans="1:31">
      <c r="A90" s="36" t="s">
        <v>189</v>
      </c>
      <c r="B90" s="43"/>
      <c r="C90" s="37"/>
      <c r="D90" s="38"/>
      <c r="E90" s="37"/>
      <c r="F90" s="38"/>
      <c r="G90" s="37"/>
      <c r="H90" s="38"/>
      <c r="I90" s="39">
        <f t="shared" si="5"/>
        <v>0</v>
      </c>
      <c r="J90" s="37">
        <v>200</v>
      </c>
      <c r="K90" s="38">
        <v>23</v>
      </c>
      <c r="L90" s="37"/>
      <c r="M90" s="38"/>
      <c r="N90" s="37">
        <v>200</v>
      </c>
      <c r="O90" s="38">
        <v>23</v>
      </c>
      <c r="P90" s="39">
        <f t="shared" si="9"/>
        <v>9200</v>
      </c>
      <c r="Q90" s="37"/>
      <c r="R90" s="38"/>
      <c r="S90" s="37">
        <v>200</v>
      </c>
      <c r="T90" s="38">
        <v>23</v>
      </c>
      <c r="U90" s="37"/>
      <c r="V90" s="38"/>
      <c r="W90" s="29">
        <f t="shared" si="6"/>
        <v>4600</v>
      </c>
      <c r="X90" s="37">
        <v>200</v>
      </c>
      <c r="Y90" s="38">
        <v>23</v>
      </c>
      <c r="Z90" s="37"/>
      <c r="AA90" s="38"/>
      <c r="AB90" s="37">
        <v>200</v>
      </c>
      <c r="AC90" s="38">
        <v>23</v>
      </c>
      <c r="AD90" s="39">
        <f t="shared" si="7"/>
        <v>9200</v>
      </c>
      <c r="AE90" s="40">
        <f t="shared" si="8"/>
        <v>23000</v>
      </c>
    </row>
    <row r="91" spans="1:31">
      <c r="A91" s="24" t="s">
        <v>190</v>
      </c>
      <c r="B91" s="42"/>
      <c r="C91" s="25"/>
      <c r="D91" s="26"/>
      <c r="E91" s="25"/>
      <c r="F91" s="26">
        <v>45</v>
      </c>
      <c r="G91" s="25"/>
      <c r="H91" s="26"/>
      <c r="I91" s="27">
        <f t="shared" si="5"/>
        <v>0</v>
      </c>
      <c r="J91" s="25">
        <v>8</v>
      </c>
      <c r="K91" s="26">
        <v>45</v>
      </c>
      <c r="L91" s="25"/>
      <c r="M91" s="26"/>
      <c r="N91" s="25">
        <v>8</v>
      </c>
      <c r="O91" s="26">
        <v>45</v>
      </c>
      <c r="P91" s="28">
        <f t="shared" si="9"/>
        <v>720</v>
      </c>
      <c r="Q91" s="25"/>
      <c r="R91" s="26"/>
      <c r="S91" s="25">
        <v>8</v>
      </c>
      <c r="T91" s="26">
        <v>45</v>
      </c>
      <c r="U91" s="25"/>
      <c r="V91" s="26"/>
      <c r="W91" s="29">
        <f t="shared" si="6"/>
        <v>360</v>
      </c>
      <c r="X91" s="25">
        <v>8</v>
      </c>
      <c r="Y91" s="26">
        <v>45</v>
      </c>
      <c r="Z91" s="25"/>
      <c r="AA91" s="26"/>
      <c r="AB91" s="25">
        <v>8</v>
      </c>
      <c r="AC91" s="26">
        <v>45</v>
      </c>
      <c r="AD91" s="30">
        <f t="shared" si="7"/>
        <v>720</v>
      </c>
      <c r="AE91" s="31">
        <f t="shared" si="8"/>
        <v>1800</v>
      </c>
    </row>
    <row r="92" spans="1:31">
      <c r="A92" s="36" t="s">
        <v>191</v>
      </c>
      <c r="B92" s="43"/>
      <c r="C92" s="37"/>
      <c r="D92" s="38"/>
      <c r="E92" s="25"/>
      <c r="F92" s="26">
        <v>45</v>
      </c>
      <c r="G92" s="37"/>
      <c r="H92" s="38"/>
      <c r="I92" s="39">
        <f t="shared" si="5"/>
        <v>0</v>
      </c>
      <c r="J92" s="25">
        <v>8</v>
      </c>
      <c r="K92" s="26">
        <v>45</v>
      </c>
      <c r="L92" s="37"/>
      <c r="M92" s="38"/>
      <c r="N92" s="25">
        <v>8</v>
      </c>
      <c r="O92" s="26">
        <v>45</v>
      </c>
      <c r="P92" s="39">
        <f t="shared" si="9"/>
        <v>720</v>
      </c>
      <c r="Q92" s="37"/>
      <c r="R92" s="38"/>
      <c r="S92" s="37">
        <v>8</v>
      </c>
      <c r="T92" s="26">
        <v>45</v>
      </c>
      <c r="U92" s="37"/>
      <c r="V92" s="38"/>
      <c r="W92" s="29">
        <f t="shared" si="6"/>
        <v>360</v>
      </c>
      <c r="X92" s="37">
        <v>8</v>
      </c>
      <c r="Y92" s="26">
        <v>45</v>
      </c>
      <c r="Z92" s="37"/>
      <c r="AA92" s="38"/>
      <c r="AB92" s="37">
        <v>8</v>
      </c>
      <c r="AC92" s="26">
        <v>45</v>
      </c>
      <c r="AD92" s="39">
        <f t="shared" si="7"/>
        <v>720</v>
      </c>
      <c r="AE92" s="40">
        <f t="shared" si="8"/>
        <v>1800</v>
      </c>
    </row>
    <row r="93" spans="1:31">
      <c r="A93" s="24" t="s">
        <v>192</v>
      </c>
      <c r="B93" s="42"/>
      <c r="C93" s="25"/>
      <c r="D93" s="26"/>
      <c r="E93" s="25"/>
      <c r="F93" s="26">
        <v>45</v>
      </c>
      <c r="G93" s="25"/>
      <c r="H93" s="26"/>
      <c r="I93" s="27">
        <f t="shared" si="5"/>
        <v>0</v>
      </c>
      <c r="J93" s="25">
        <v>10</v>
      </c>
      <c r="K93" s="26">
        <v>45</v>
      </c>
      <c r="L93" s="25"/>
      <c r="M93" s="26"/>
      <c r="N93" s="25">
        <v>2</v>
      </c>
      <c r="O93" s="26">
        <v>45</v>
      </c>
      <c r="P93" s="28">
        <f t="shared" si="9"/>
        <v>540</v>
      </c>
      <c r="Q93" s="25"/>
      <c r="R93" s="26"/>
      <c r="S93" s="25">
        <v>4</v>
      </c>
      <c r="T93" s="26">
        <v>45</v>
      </c>
      <c r="U93" s="25"/>
      <c r="V93" s="26"/>
      <c r="W93" s="29">
        <f t="shared" si="6"/>
        <v>180</v>
      </c>
      <c r="X93" s="25">
        <v>2</v>
      </c>
      <c r="Y93" s="26">
        <v>45</v>
      </c>
      <c r="Z93" s="25"/>
      <c r="AA93" s="26"/>
      <c r="AB93" s="25">
        <v>4</v>
      </c>
      <c r="AC93" s="26">
        <v>45</v>
      </c>
      <c r="AD93" s="30">
        <f t="shared" si="7"/>
        <v>270</v>
      </c>
      <c r="AE93" s="31">
        <f t="shared" si="8"/>
        <v>990</v>
      </c>
    </row>
    <row r="94" spans="1:31">
      <c r="A94" s="36" t="s">
        <v>193</v>
      </c>
      <c r="B94" s="43"/>
      <c r="C94" s="37"/>
      <c r="D94" s="38"/>
      <c r="E94" s="25"/>
      <c r="F94" s="26">
        <v>45</v>
      </c>
      <c r="G94" s="37"/>
      <c r="H94" s="38"/>
      <c r="I94" s="39">
        <f t="shared" si="5"/>
        <v>0</v>
      </c>
      <c r="J94" s="25">
        <v>10</v>
      </c>
      <c r="K94" s="26">
        <v>45</v>
      </c>
      <c r="L94" s="37"/>
      <c r="M94" s="38"/>
      <c r="N94" s="25">
        <v>10</v>
      </c>
      <c r="O94" s="26">
        <v>45</v>
      </c>
      <c r="P94" s="39">
        <f t="shared" si="9"/>
        <v>900</v>
      </c>
      <c r="Q94" s="37"/>
      <c r="R94" s="38"/>
      <c r="S94" s="37">
        <v>10</v>
      </c>
      <c r="T94" s="26">
        <v>45</v>
      </c>
      <c r="U94" s="37"/>
      <c r="V94" s="38"/>
      <c r="W94" s="29">
        <f t="shared" si="6"/>
        <v>450</v>
      </c>
      <c r="X94" s="37">
        <v>10</v>
      </c>
      <c r="Y94" s="26">
        <v>45</v>
      </c>
      <c r="Z94" s="37"/>
      <c r="AA94" s="38"/>
      <c r="AB94" s="37">
        <v>10</v>
      </c>
      <c r="AC94" s="26">
        <v>45</v>
      </c>
      <c r="AD94" s="39">
        <f t="shared" si="7"/>
        <v>900</v>
      </c>
      <c r="AE94" s="40">
        <f t="shared" si="8"/>
        <v>2250</v>
      </c>
    </row>
    <row r="95" spans="1:31">
      <c r="A95" s="24" t="s">
        <v>194</v>
      </c>
      <c r="B95" s="42"/>
      <c r="C95" s="25"/>
      <c r="D95" s="26"/>
      <c r="E95" s="25"/>
      <c r="F95" s="26">
        <v>45</v>
      </c>
      <c r="G95" s="25"/>
      <c r="H95" s="26"/>
      <c r="I95" s="27">
        <f t="shared" si="5"/>
        <v>0</v>
      </c>
      <c r="J95" s="25">
        <v>10</v>
      </c>
      <c r="K95" s="26">
        <v>45</v>
      </c>
      <c r="L95" s="25"/>
      <c r="M95" s="26"/>
      <c r="N95" s="25">
        <v>10</v>
      </c>
      <c r="O95" s="26">
        <v>45</v>
      </c>
      <c r="P95" s="28">
        <f t="shared" si="9"/>
        <v>900</v>
      </c>
      <c r="Q95" s="25"/>
      <c r="R95" s="26"/>
      <c r="S95" s="25">
        <v>10</v>
      </c>
      <c r="T95" s="26">
        <v>45</v>
      </c>
      <c r="U95" s="25"/>
      <c r="V95" s="26"/>
      <c r="W95" s="29">
        <f t="shared" si="6"/>
        <v>450</v>
      </c>
      <c r="X95" s="25">
        <v>10</v>
      </c>
      <c r="Y95" s="26">
        <v>45</v>
      </c>
      <c r="Z95" s="25"/>
      <c r="AA95" s="26"/>
      <c r="AB95" s="25">
        <v>10</v>
      </c>
      <c r="AC95" s="26">
        <v>45</v>
      </c>
      <c r="AD95" s="30">
        <f t="shared" si="7"/>
        <v>900</v>
      </c>
      <c r="AE95" s="31">
        <f t="shared" si="8"/>
        <v>2250</v>
      </c>
    </row>
    <row r="96" spans="1:31">
      <c r="A96" s="36" t="s">
        <v>195</v>
      </c>
      <c r="B96" s="43"/>
      <c r="C96" s="37"/>
      <c r="D96" s="38"/>
      <c r="E96" s="25"/>
      <c r="F96" s="26">
        <v>45</v>
      </c>
      <c r="G96" s="37"/>
      <c r="H96" s="38"/>
      <c r="I96" s="39">
        <f t="shared" si="5"/>
        <v>0</v>
      </c>
      <c r="J96" s="25">
        <v>8</v>
      </c>
      <c r="K96" s="26">
        <v>45</v>
      </c>
      <c r="L96" s="37"/>
      <c r="M96" s="38"/>
      <c r="N96" s="25">
        <v>2</v>
      </c>
      <c r="O96" s="26">
        <v>45</v>
      </c>
      <c r="P96" s="39">
        <f t="shared" si="9"/>
        <v>450</v>
      </c>
      <c r="Q96" s="37"/>
      <c r="R96" s="38"/>
      <c r="S96" s="25">
        <v>4</v>
      </c>
      <c r="T96" s="26">
        <v>45</v>
      </c>
      <c r="U96" s="37"/>
      <c r="V96" s="38"/>
      <c r="W96" s="29">
        <f t="shared" si="6"/>
        <v>180</v>
      </c>
      <c r="X96" s="25">
        <v>2</v>
      </c>
      <c r="Y96" s="26">
        <v>45</v>
      </c>
      <c r="Z96" s="37"/>
      <c r="AA96" s="38"/>
      <c r="AB96" s="25">
        <v>4</v>
      </c>
      <c r="AC96" s="26">
        <v>45</v>
      </c>
      <c r="AD96" s="39">
        <f t="shared" si="7"/>
        <v>270</v>
      </c>
      <c r="AE96" s="40">
        <f t="shared" si="8"/>
        <v>900</v>
      </c>
    </row>
    <row r="97" spans="1:31">
      <c r="A97" s="24" t="s">
        <v>196</v>
      </c>
      <c r="B97" s="42"/>
      <c r="C97" s="25"/>
      <c r="D97" s="26"/>
      <c r="E97" s="25"/>
      <c r="F97" s="26">
        <v>45</v>
      </c>
      <c r="G97" s="25"/>
      <c r="H97" s="26"/>
      <c r="I97" s="27">
        <f t="shared" si="5"/>
        <v>0</v>
      </c>
      <c r="J97" s="25">
        <v>8</v>
      </c>
      <c r="K97" s="26">
        <v>45</v>
      </c>
      <c r="L97" s="25"/>
      <c r="M97" s="26"/>
      <c r="N97" s="25">
        <v>8</v>
      </c>
      <c r="O97" s="26">
        <v>45</v>
      </c>
      <c r="P97" s="28">
        <f t="shared" si="9"/>
        <v>720</v>
      </c>
      <c r="Q97" s="25"/>
      <c r="R97" s="26"/>
      <c r="S97" s="25">
        <v>8</v>
      </c>
      <c r="T97" s="26">
        <v>45</v>
      </c>
      <c r="U97" s="25"/>
      <c r="V97" s="26"/>
      <c r="W97" s="29">
        <f t="shared" si="6"/>
        <v>360</v>
      </c>
      <c r="X97" s="25">
        <v>8</v>
      </c>
      <c r="Y97" s="26">
        <v>45</v>
      </c>
      <c r="Z97" s="25"/>
      <c r="AA97" s="26"/>
      <c r="AB97" s="25">
        <v>8</v>
      </c>
      <c r="AC97" s="26">
        <v>45</v>
      </c>
      <c r="AD97" s="30">
        <f t="shared" si="7"/>
        <v>720</v>
      </c>
      <c r="AE97" s="31">
        <f t="shared" si="8"/>
        <v>1800</v>
      </c>
    </row>
    <row r="98" spans="1:31">
      <c r="A98" s="36" t="s">
        <v>197</v>
      </c>
      <c r="B98" s="43"/>
      <c r="C98" s="37"/>
      <c r="D98" s="38"/>
      <c r="E98" s="25"/>
      <c r="F98" s="26">
        <v>45</v>
      </c>
      <c r="G98" s="37"/>
      <c r="H98" s="38"/>
      <c r="I98" s="39">
        <f t="shared" si="5"/>
        <v>0</v>
      </c>
      <c r="J98" s="25">
        <v>8</v>
      </c>
      <c r="K98" s="26">
        <v>45</v>
      </c>
      <c r="L98" s="37"/>
      <c r="M98" s="38"/>
      <c r="N98" s="25">
        <v>8</v>
      </c>
      <c r="O98" s="26">
        <v>45</v>
      </c>
      <c r="P98" s="39">
        <f t="shared" si="9"/>
        <v>720</v>
      </c>
      <c r="Q98" s="37"/>
      <c r="R98" s="38"/>
      <c r="S98" s="37">
        <v>8</v>
      </c>
      <c r="T98" s="26">
        <v>45</v>
      </c>
      <c r="U98" s="37"/>
      <c r="V98" s="38"/>
      <c r="W98" s="29">
        <f t="shared" si="6"/>
        <v>360</v>
      </c>
      <c r="X98" s="37">
        <v>8</v>
      </c>
      <c r="Y98" s="26">
        <v>45</v>
      </c>
      <c r="Z98" s="37"/>
      <c r="AA98" s="38"/>
      <c r="AB98" s="37">
        <v>8</v>
      </c>
      <c r="AC98" s="26">
        <v>45</v>
      </c>
      <c r="AD98" s="39">
        <f t="shared" si="7"/>
        <v>720</v>
      </c>
      <c r="AE98" s="40">
        <f t="shared" si="8"/>
        <v>1800</v>
      </c>
    </row>
    <row r="99" spans="1:31">
      <c r="A99" s="24" t="s">
        <v>198</v>
      </c>
      <c r="B99" s="42"/>
      <c r="C99" s="25"/>
      <c r="D99" s="26"/>
      <c r="E99" s="25"/>
      <c r="F99" s="26">
        <v>45</v>
      </c>
      <c r="G99" s="25"/>
      <c r="H99" s="26"/>
      <c r="I99" s="27">
        <f t="shared" si="5"/>
        <v>0</v>
      </c>
      <c r="J99" s="25">
        <v>8</v>
      </c>
      <c r="K99" s="26">
        <v>45</v>
      </c>
      <c r="L99" s="25"/>
      <c r="M99" s="26"/>
      <c r="N99" s="25">
        <v>8</v>
      </c>
      <c r="O99" s="26">
        <v>45</v>
      </c>
      <c r="P99" s="28">
        <f t="shared" si="9"/>
        <v>720</v>
      </c>
      <c r="Q99" s="25"/>
      <c r="R99" s="26"/>
      <c r="S99" s="25">
        <v>4</v>
      </c>
      <c r="T99" s="26">
        <v>45</v>
      </c>
      <c r="U99" s="25"/>
      <c r="V99" s="26"/>
      <c r="W99" s="29">
        <f t="shared" si="6"/>
        <v>180</v>
      </c>
      <c r="X99" s="25">
        <v>2</v>
      </c>
      <c r="Y99" s="26">
        <v>45</v>
      </c>
      <c r="Z99" s="25"/>
      <c r="AA99" s="26"/>
      <c r="AB99" s="25">
        <v>4</v>
      </c>
      <c r="AC99" s="26">
        <v>45</v>
      </c>
      <c r="AD99" s="30">
        <f t="shared" si="7"/>
        <v>270</v>
      </c>
      <c r="AE99" s="31">
        <f t="shared" si="8"/>
        <v>1170</v>
      </c>
    </row>
    <row r="100" spans="1:31">
      <c r="A100" s="36" t="s">
        <v>199</v>
      </c>
      <c r="B100" s="43"/>
      <c r="C100" s="37"/>
      <c r="D100" s="38"/>
      <c r="E100" s="25"/>
      <c r="F100" s="26">
        <v>45</v>
      </c>
      <c r="G100" s="37"/>
      <c r="H100" s="38"/>
      <c r="I100" s="39">
        <f t="shared" si="5"/>
        <v>0</v>
      </c>
      <c r="J100" s="25">
        <v>8</v>
      </c>
      <c r="K100" s="26">
        <v>45</v>
      </c>
      <c r="L100" s="37"/>
      <c r="M100" s="38"/>
      <c r="N100" s="25">
        <v>8</v>
      </c>
      <c r="O100" s="26">
        <v>45</v>
      </c>
      <c r="P100" s="39">
        <f t="shared" si="9"/>
        <v>720</v>
      </c>
      <c r="Q100" s="37"/>
      <c r="R100" s="38"/>
      <c r="S100" s="37">
        <v>8</v>
      </c>
      <c r="T100" s="26">
        <v>45</v>
      </c>
      <c r="U100" s="37"/>
      <c r="V100" s="38"/>
      <c r="W100" s="29">
        <f t="shared" si="6"/>
        <v>360</v>
      </c>
      <c r="X100" s="37">
        <v>8</v>
      </c>
      <c r="Y100" s="26">
        <v>45</v>
      </c>
      <c r="Z100" s="37"/>
      <c r="AA100" s="38"/>
      <c r="AB100" s="37">
        <v>8</v>
      </c>
      <c r="AC100" s="26">
        <v>45</v>
      </c>
      <c r="AD100" s="39">
        <f t="shared" si="7"/>
        <v>720</v>
      </c>
      <c r="AE100" s="40">
        <f t="shared" si="8"/>
        <v>1800</v>
      </c>
    </row>
    <row r="101" spans="1:31">
      <c r="A101" s="24" t="s">
        <v>200</v>
      </c>
      <c r="B101" s="42"/>
      <c r="C101" s="25"/>
      <c r="D101" s="26"/>
      <c r="E101" s="25"/>
      <c r="F101" s="26">
        <v>45</v>
      </c>
      <c r="G101" s="25"/>
      <c r="H101" s="26"/>
      <c r="I101" s="27">
        <f t="shared" si="5"/>
        <v>0</v>
      </c>
      <c r="J101" s="25">
        <v>10</v>
      </c>
      <c r="K101" s="26">
        <v>45</v>
      </c>
      <c r="L101" s="25"/>
      <c r="M101" s="26"/>
      <c r="N101" s="25">
        <v>10</v>
      </c>
      <c r="O101" s="26">
        <v>45</v>
      </c>
      <c r="P101" s="28">
        <f t="shared" si="9"/>
        <v>900</v>
      </c>
      <c r="Q101" s="25"/>
      <c r="R101" s="26"/>
      <c r="S101" s="25">
        <v>10</v>
      </c>
      <c r="T101" s="26">
        <v>45</v>
      </c>
      <c r="U101" s="25"/>
      <c r="V101" s="26"/>
      <c r="W101" s="29">
        <f t="shared" si="6"/>
        <v>450</v>
      </c>
      <c r="X101" s="25">
        <v>10</v>
      </c>
      <c r="Y101" s="26">
        <v>45</v>
      </c>
      <c r="Z101" s="25"/>
      <c r="AA101" s="26"/>
      <c r="AB101" s="25">
        <v>10</v>
      </c>
      <c r="AC101" s="26">
        <v>45</v>
      </c>
      <c r="AD101" s="30">
        <f t="shared" si="7"/>
        <v>900</v>
      </c>
      <c r="AE101" s="31">
        <f t="shared" si="8"/>
        <v>2250</v>
      </c>
    </row>
    <row r="102" spans="1:31">
      <c r="A102" s="36" t="s">
        <v>201</v>
      </c>
      <c r="B102" s="43"/>
      <c r="C102" s="37"/>
      <c r="D102" s="38"/>
      <c r="E102" s="25"/>
      <c r="F102" s="26">
        <v>45</v>
      </c>
      <c r="G102" s="37"/>
      <c r="H102" s="38"/>
      <c r="I102" s="39">
        <f t="shared" si="5"/>
        <v>0</v>
      </c>
      <c r="J102" s="37">
        <v>4</v>
      </c>
      <c r="K102" s="26">
        <v>45</v>
      </c>
      <c r="L102" s="37"/>
      <c r="M102" s="38"/>
      <c r="N102" s="37">
        <v>2</v>
      </c>
      <c r="O102" s="26">
        <v>45</v>
      </c>
      <c r="P102" s="39">
        <f t="shared" si="9"/>
        <v>270</v>
      </c>
      <c r="Q102" s="37"/>
      <c r="R102" s="38"/>
      <c r="S102" s="25">
        <v>4</v>
      </c>
      <c r="T102" s="26">
        <v>45</v>
      </c>
      <c r="U102" s="37"/>
      <c r="V102" s="38"/>
      <c r="W102" s="29">
        <f t="shared" si="6"/>
        <v>180</v>
      </c>
      <c r="X102" s="25">
        <v>2</v>
      </c>
      <c r="Y102" s="26">
        <v>45</v>
      </c>
      <c r="Z102" s="37"/>
      <c r="AA102" s="38"/>
      <c r="AB102" s="25">
        <v>4</v>
      </c>
      <c r="AC102" s="26">
        <v>45</v>
      </c>
      <c r="AD102" s="39">
        <f t="shared" si="7"/>
        <v>270</v>
      </c>
      <c r="AE102" s="40">
        <f t="shared" si="8"/>
        <v>720</v>
      </c>
    </row>
    <row r="103" spans="1:31">
      <c r="A103" s="24" t="s">
        <v>202</v>
      </c>
      <c r="B103" s="42"/>
      <c r="C103" s="25"/>
      <c r="D103" s="26"/>
      <c r="E103" s="25"/>
      <c r="F103" s="26">
        <v>45</v>
      </c>
      <c r="G103" s="25"/>
      <c r="H103" s="26"/>
      <c r="I103" s="27">
        <f t="shared" si="5"/>
        <v>0</v>
      </c>
      <c r="J103" s="25">
        <v>8</v>
      </c>
      <c r="K103" s="26">
        <v>45</v>
      </c>
      <c r="L103" s="25"/>
      <c r="M103" s="26"/>
      <c r="N103" s="25">
        <v>8</v>
      </c>
      <c r="O103" s="26">
        <v>45</v>
      </c>
      <c r="P103" s="28">
        <f t="shared" si="9"/>
        <v>720</v>
      </c>
      <c r="Q103" s="25"/>
      <c r="R103" s="26"/>
      <c r="S103" s="25">
        <v>8</v>
      </c>
      <c r="T103" s="26">
        <v>45</v>
      </c>
      <c r="U103" s="25"/>
      <c r="V103" s="26"/>
      <c r="W103" s="29">
        <f t="shared" si="6"/>
        <v>360</v>
      </c>
      <c r="X103" s="25">
        <v>8</v>
      </c>
      <c r="Y103" s="26">
        <v>45</v>
      </c>
      <c r="Z103" s="25"/>
      <c r="AA103" s="26"/>
      <c r="AB103" s="25">
        <v>8</v>
      </c>
      <c r="AC103" s="26">
        <v>45</v>
      </c>
      <c r="AD103" s="30">
        <f t="shared" si="7"/>
        <v>720</v>
      </c>
      <c r="AE103" s="31">
        <f t="shared" si="8"/>
        <v>1800</v>
      </c>
    </row>
    <row r="104" spans="1:31">
      <c r="A104" s="36" t="s">
        <v>203</v>
      </c>
      <c r="B104" s="43"/>
      <c r="C104" s="37"/>
      <c r="D104" s="38"/>
      <c r="E104" s="37"/>
      <c r="F104" s="26">
        <v>45</v>
      </c>
      <c r="G104" s="37"/>
      <c r="H104" s="38"/>
      <c r="I104" s="39">
        <f t="shared" si="5"/>
        <v>0</v>
      </c>
      <c r="J104" s="37">
        <v>6</v>
      </c>
      <c r="K104" s="26">
        <v>45</v>
      </c>
      <c r="L104" s="37"/>
      <c r="M104" s="38"/>
      <c r="N104" s="37">
        <v>6</v>
      </c>
      <c r="O104" s="26">
        <v>45</v>
      </c>
      <c r="P104" s="39">
        <f t="shared" si="9"/>
        <v>540</v>
      </c>
      <c r="Q104" s="37"/>
      <c r="R104" s="38"/>
      <c r="S104" s="37">
        <v>6</v>
      </c>
      <c r="T104" s="26">
        <v>45</v>
      </c>
      <c r="U104" s="37"/>
      <c r="V104" s="38"/>
      <c r="W104" s="29">
        <f t="shared" si="6"/>
        <v>270</v>
      </c>
      <c r="X104" s="37">
        <v>6</v>
      </c>
      <c r="Y104" s="26">
        <v>45</v>
      </c>
      <c r="Z104" s="37"/>
      <c r="AA104" s="38"/>
      <c r="AB104" s="37">
        <v>6</v>
      </c>
      <c r="AC104" s="26">
        <v>45</v>
      </c>
      <c r="AD104" s="39">
        <f t="shared" si="7"/>
        <v>540</v>
      </c>
      <c r="AE104" s="40">
        <f t="shared" si="8"/>
        <v>1350</v>
      </c>
    </row>
    <row r="105" spans="1:31">
      <c r="A105" s="24" t="s">
        <v>204</v>
      </c>
      <c r="B105" s="42"/>
      <c r="C105" s="25"/>
      <c r="D105" s="26"/>
      <c r="E105" s="25"/>
      <c r="F105" s="26">
        <v>45</v>
      </c>
      <c r="G105" s="25"/>
      <c r="H105" s="26"/>
      <c r="I105" s="27">
        <f t="shared" si="5"/>
        <v>0</v>
      </c>
      <c r="J105" s="25">
        <v>8</v>
      </c>
      <c r="K105" s="26">
        <v>45</v>
      </c>
      <c r="L105" s="25"/>
      <c r="M105" s="26"/>
      <c r="N105" s="25">
        <v>8</v>
      </c>
      <c r="O105" s="26">
        <v>45</v>
      </c>
      <c r="P105" s="28">
        <f t="shared" si="9"/>
        <v>720</v>
      </c>
      <c r="Q105" s="25"/>
      <c r="R105" s="26"/>
      <c r="S105" s="25">
        <v>8</v>
      </c>
      <c r="T105" s="26">
        <v>45</v>
      </c>
      <c r="U105" s="25"/>
      <c r="V105" s="26"/>
      <c r="W105" s="29">
        <f t="shared" si="6"/>
        <v>360</v>
      </c>
      <c r="X105" s="25">
        <v>8</v>
      </c>
      <c r="Y105" s="26">
        <v>45</v>
      </c>
      <c r="Z105" s="25"/>
      <c r="AA105" s="26"/>
      <c r="AB105" s="25">
        <v>8</v>
      </c>
      <c r="AC105" s="26">
        <v>45</v>
      </c>
      <c r="AD105" s="30">
        <f t="shared" si="7"/>
        <v>720</v>
      </c>
      <c r="AE105" s="31">
        <f t="shared" si="8"/>
        <v>1800</v>
      </c>
    </row>
    <row r="106" spans="1:31">
      <c r="A106" s="36" t="s">
        <v>205</v>
      </c>
      <c r="B106" s="43"/>
      <c r="C106" s="37"/>
      <c r="D106" s="38"/>
      <c r="E106" s="37"/>
      <c r="F106" s="38"/>
      <c r="G106" s="37"/>
      <c r="H106" s="38"/>
      <c r="I106" s="39">
        <f t="shared" si="5"/>
        <v>0</v>
      </c>
      <c r="J106" s="37"/>
      <c r="K106" s="38"/>
      <c r="L106" s="37"/>
      <c r="M106" s="38"/>
      <c r="N106" s="37"/>
      <c r="O106" s="38"/>
      <c r="P106" s="39">
        <f t="shared" si="9"/>
        <v>0</v>
      </c>
      <c r="Q106" s="37"/>
      <c r="R106" s="38"/>
      <c r="S106" s="37"/>
      <c r="T106" s="38"/>
      <c r="U106" s="37"/>
      <c r="V106" s="38"/>
      <c r="W106" s="29">
        <f t="shared" si="6"/>
        <v>0</v>
      </c>
      <c r="X106" s="37"/>
      <c r="Y106" s="38"/>
      <c r="Z106" s="37"/>
      <c r="AA106" s="38"/>
      <c r="AB106" s="37"/>
      <c r="AC106" s="38"/>
      <c r="AD106" s="39">
        <f t="shared" si="7"/>
        <v>0</v>
      </c>
      <c r="AE106" s="40">
        <f t="shared" si="8"/>
        <v>0</v>
      </c>
    </row>
    <row r="107" spans="1:31">
      <c r="A107" s="24" t="s">
        <v>206</v>
      </c>
      <c r="B107" s="42"/>
      <c r="C107" s="25"/>
      <c r="D107" s="26"/>
      <c r="E107" s="25"/>
      <c r="F107" s="26">
        <v>64</v>
      </c>
      <c r="G107" s="25"/>
      <c r="H107" s="26"/>
      <c r="I107" s="27">
        <f t="shared" si="5"/>
        <v>0</v>
      </c>
      <c r="J107" s="25"/>
      <c r="K107" s="26">
        <v>64</v>
      </c>
      <c r="L107" s="25"/>
      <c r="M107" s="26"/>
      <c r="N107" s="25"/>
      <c r="O107" s="26">
        <v>64</v>
      </c>
      <c r="P107" s="28">
        <f t="shared" si="9"/>
        <v>0</v>
      </c>
      <c r="Q107" s="25"/>
      <c r="R107" s="26"/>
      <c r="S107" s="25"/>
      <c r="T107" s="26">
        <v>64</v>
      </c>
      <c r="U107" s="25"/>
      <c r="V107" s="26"/>
      <c r="W107" s="29">
        <f t="shared" si="6"/>
        <v>0</v>
      </c>
      <c r="X107" s="25"/>
      <c r="Y107" s="26">
        <v>64</v>
      </c>
      <c r="Z107" s="25"/>
      <c r="AA107" s="26"/>
      <c r="AB107" s="25"/>
      <c r="AC107" s="26">
        <v>64</v>
      </c>
      <c r="AD107" s="30">
        <f t="shared" si="7"/>
        <v>0</v>
      </c>
      <c r="AE107" s="31">
        <f t="shared" si="8"/>
        <v>0</v>
      </c>
    </row>
    <row r="108" spans="1:31">
      <c r="A108" s="36" t="s">
        <v>207</v>
      </c>
      <c r="B108" s="43"/>
      <c r="C108" s="37"/>
      <c r="D108" s="38"/>
      <c r="E108" s="37"/>
      <c r="F108" s="26">
        <v>64</v>
      </c>
      <c r="G108" s="37"/>
      <c r="H108" s="38"/>
      <c r="I108" s="39">
        <f t="shared" si="5"/>
        <v>0</v>
      </c>
      <c r="J108" s="37">
        <v>10</v>
      </c>
      <c r="K108" s="26">
        <v>64</v>
      </c>
      <c r="L108" s="37"/>
      <c r="M108" s="38"/>
      <c r="N108" s="37">
        <v>10</v>
      </c>
      <c r="O108" s="26">
        <v>64</v>
      </c>
      <c r="P108" s="39">
        <f t="shared" si="9"/>
        <v>1280</v>
      </c>
      <c r="Q108" s="37"/>
      <c r="R108" s="38"/>
      <c r="S108" s="37">
        <v>10</v>
      </c>
      <c r="T108" s="26">
        <v>64</v>
      </c>
      <c r="U108" s="37"/>
      <c r="V108" s="38"/>
      <c r="W108" s="29">
        <f t="shared" si="6"/>
        <v>640</v>
      </c>
      <c r="X108" s="37">
        <v>10</v>
      </c>
      <c r="Y108" s="26">
        <v>64</v>
      </c>
      <c r="Z108" s="37"/>
      <c r="AA108" s="38"/>
      <c r="AB108" s="37">
        <v>10</v>
      </c>
      <c r="AC108" s="26">
        <v>64</v>
      </c>
      <c r="AD108" s="39">
        <f t="shared" si="7"/>
        <v>1280</v>
      </c>
      <c r="AE108" s="40">
        <f t="shared" si="8"/>
        <v>3200</v>
      </c>
    </row>
    <row r="109" spans="1:31">
      <c r="A109" s="24" t="s">
        <v>208</v>
      </c>
      <c r="B109" s="42"/>
      <c r="C109" s="25"/>
      <c r="D109" s="26"/>
      <c r="E109" s="25"/>
      <c r="F109" s="26">
        <v>64</v>
      </c>
      <c r="G109" s="25"/>
      <c r="H109" s="26"/>
      <c r="I109" s="27">
        <f t="shared" si="5"/>
        <v>0</v>
      </c>
      <c r="J109" s="25">
        <v>10</v>
      </c>
      <c r="K109" s="26">
        <v>64</v>
      </c>
      <c r="L109" s="25"/>
      <c r="M109" s="26"/>
      <c r="N109" s="25">
        <v>10</v>
      </c>
      <c r="O109" s="26">
        <v>64</v>
      </c>
      <c r="P109" s="28">
        <f t="shared" si="9"/>
        <v>1280</v>
      </c>
      <c r="Q109" s="25"/>
      <c r="R109" s="26"/>
      <c r="S109" s="25">
        <v>10</v>
      </c>
      <c r="T109" s="26">
        <v>64</v>
      </c>
      <c r="U109" s="25"/>
      <c r="V109" s="26"/>
      <c r="W109" s="29">
        <f t="shared" si="6"/>
        <v>640</v>
      </c>
      <c r="X109" s="25">
        <v>10</v>
      </c>
      <c r="Y109" s="26">
        <v>64</v>
      </c>
      <c r="Z109" s="25"/>
      <c r="AA109" s="26"/>
      <c r="AB109" s="25">
        <v>10</v>
      </c>
      <c r="AC109" s="26">
        <v>64</v>
      </c>
      <c r="AD109" s="30">
        <f t="shared" si="7"/>
        <v>1280</v>
      </c>
      <c r="AE109" s="31">
        <f t="shared" si="8"/>
        <v>3200</v>
      </c>
    </row>
    <row r="110" spans="1:31">
      <c r="A110" s="77" t="s">
        <v>209</v>
      </c>
      <c r="B110" s="42"/>
      <c r="C110" s="25"/>
      <c r="D110" s="26"/>
      <c r="E110" s="25">
        <v>60</v>
      </c>
      <c r="F110" s="26">
        <v>64</v>
      </c>
      <c r="G110" s="25"/>
      <c r="H110" s="26"/>
      <c r="I110" s="27"/>
      <c r="J110" s="25"/>
      <c r="K110" s="26"/>
      <c r="L110" s="25"/>
      <c r="M110" s="26"/>
      <c r="N110" s="25"/>
      <c r="O110" s="26"/>
      <c r="P110" s="28"/>
      <c r="Q110" s="25"/>
      <c r="R110" s="26"/>
      <c r="S110" s="25"/>
      <c r="T110" s="26"/>
      <c r="U110" s="25"/>
      <c r="V110" s="26"/>
      <c r="W110" s="29"/>
      <c r="X110" s="25"/>
      <c r="Y110" s="26"/>
      <c r="Z110" s="25"/>
      <c r="AA110" s="26"/>
      <c r="AB110" s="25"/>
      <c r="AC110" s="26"/>
      <c r="AD110" s="30"/>
      <c r="AE110" s="31"/>
    </row>
    <row r="111" spans="1:31">
      <c r="A111" s="36" t="s">
        <v>210</v>
      </c>
      <c r="B111" s="43"/>
      <c r="C111" s="37"/>
      <c r="D111" s="38"/>
      <c r="E111" s="37"/>
      <c r="F111" s="26">
        <v>64</v>
      </c>
      <c r="G111" s="37"/>
      <c r="H111" s="38"/>
      <c r="I111" s="39">
        <f t="shared" si="5"/>
        <v>0</v>
      </c>
      <c r="J111" s="37"/>
      <c r="K111" s="26">
        <v>64</v>
      </c>
      <c r="L111" s="37"/>
      <c r="M111" s="38"/>
      <c r="N111" s="37"/>
      <c r="O111" s="26">
        <v>64</v>
      </c>
      <c r="P111" s="39">
        <f t="shared" si="9"/>
        <v>0</v>
      </c>
      <c r="Q111" s="37"/>
      <c r="R111" s="38"/>
      <c r="S111" s="37"/>
      <c r="T111" s="26">
        <v>64</v>
      </c>
      <c r="U111" s="37"/>
      <c r="V111" s="38"/>
      <c r="W111" s="29">
        <f t="shared" si="6"/>
        <v>0</v>
      </c>
      <c r="X111" s="37"/>
      <c r="Y111" s="26">
        <v>64</v>
      </c>
      <c r="Z111" s="37"/>
      <c r="AA111" s="38"/>
      <c r="AB111" s="37"/>
      <c r="AC111" s="26">
        <v>64</v>
      </c>
      <c r="AD111" s="39">
        <f t="shared" si="7"/>
        <v>0</v>
      </c>
      <c r="AE111" s="40">
        <f t="shared" si="8"/>
        <v>0</v>
      </c>
    </row>
    <row r="112" spans="1:31">
      <c r="A112" s="24" t="s">
        <v>211</v>
      </c>
      <c r="B112" s="42"/>
      <c r="C112" s="25"/>
      <c r="D112" s="26"/>
      <c r="E112" s="25"/>
      <c r="F112" s="26">
        <v>64</v>
      </c>
      <c r="G112" s="25"/>
      <c r="H112" s="26"/>
      <c r="I112" s="27">
        <f t="shared" si="5"/>
        <v>0</v>
      </c>
      <c r="J112" s="25"/>
      <c r="K112" s="26">
        <v>64</v>
      </c>
      <c r="L112" s="25"/>
      <c r="M112" s="26"/>
      <c r="N112" s="25"/>
      <c r="O112" s="26">
        <v>64</v>
      </c>
      <c r="P112" s="28">
        <f t="shared" si="9"/>
        <v>0</v>
      </c>
      <c r="Q112" s="25"/>
      <c r="R112" s="26"/>
      <c r="S112" s="25"/>
      <c r="T112" s="26">
        <v>64</v>
      </c>
      <c r="U112" s="25"/>
      <c r="V112" s="26"/>
      <c r="W112" s="29">
        <f t="shared" si="6"/>
        <v>0</v>
      </c>
      <c r="X112" s="25"/>
      <c r="Y112" s="26">
        <v>64</v>
      </c>
      <c r="Z112" s="25"/>
      <c r="AA112" s="26"/>
      <c r="AB112" s="25"/>
      <c r="AC112" s="26">
        <v>64</v>
      </c>
      <c r="AD112" s="30">
        <f t="shared" si="7"/>
        <v>0</v>
      </c>
      <c r="AE112" s="31">
        <f t="shared" si="8"/>
        <v>0</v>
      </c>
    </row>
    <row r="113" spans="1:31">
      <c r="A113" s="36" t="s">
        <v>212</v>
      </c>
      <c r="B113" s="43"/>
      <c r="C113" s="37"/>
      <c r="D113" s="38"/>
      <c r="E113" s="37"/>
      <c r="F113" s="26">
        <v>64</v>
      </c>
      <c r="G113" s="37"/>
      <c r="H113" s="38"/>
      <c r="I113" s="39">
        <f t="shared" si="5"/>
        <v>0</v>
      </c>
      <c r="J113" s="37"/>
      <c r="K113" s="26">
        <v>64</v>
      </c>
      <c r="L113" s="37"/>
      <c r="M113" s="38"/>
      <c r="N113" s="37"/>
      <c r="O113" s="26">
        <v>64</v>
      </c>
      <c r="P113" s="39">
        <f t="shared" si="9"/>
        <v>0</v>
      </c>
      <c r="Q113" s="37"/>
      <c r="R113" s="38"/>
      <c r="S113" s="37"/>
      <c r="T113" s="26">
        <v>64</v>
      </c>
      <c r="U113" s="37"/>
      <c r="V113" s="38"/>
      <c r="W113" s="29">
        <f t="shared" si="6"/>
        <v>0</v>
      </c>
      <c r="X113" s="37"/>
      <c r="Y113" s="26">
        <v>64</v>
      </c>
      <c r="Z113" s="37"/>
      <c r="AA113" s="38"/>
      <c r="AB113" s="37"/>
      <c r="AC113" s="26">
        <v>64</v>
      </c>
      <c r="AD113" s="39">
        <f t="shared" si="7"/>
        <v>0</v>
      </c>
      <c r="AE113" s="40">
        <f t="shared" si="8"/>
        <v>0</v>
      </c>
    </row>
    <row r="114" spans="1:31">
      <c r="A114" s="76" t="s">
        <v>213</v>
      </c>
      <c r="B114" s="43"/>
      <c r="C114" s="37"/>
      <c r="D114" s="38"/>
      <c r="E114" s="37">
        <v>60</v>
      </c>
      <c r="F114" s="26">
        <v>64</v>
      </c>
      <c r="G114" s="37"/>
      <c r="H114" s="38"/>
      <c r="I114" s="39"/>
      <c r="J114" s="37"/>
      <c r="K114" s="26"/>
      <c r="L114" s="37"/>
      <c r="M114" s="38"/>
      <c r="N114" s="37"/>
      <c r="O114" s="26"/>
      <c r="P114" s="39"/>
      <c r="Q114" s="37"/>
      <c r="R114" s="38"/>
      <c r="S114" s="37"/>
      <c r="T114" s="26"/>
      <c r="U114" s="37"/>
      <c r="V114" s="38"/>
      <c r="W114" s="29"/>
      <c r="X114" s="37"/>
      <c r="Y114" s="26"/>
      <c r="Z114" s="37"/>
      <c r="AA114" s="38"/>
      <c r="AB114" s="37"/>
      <c r="AC114" s="26"/>
      <c r="AD114" s="39"/>
      <c r="AE114" s="40"/>
    </row>
    <row r="115" spans="1:31">
      <c r="A115" s="24" t="s">
        <v>214</v>
      </c>
      <c r="B115" s="42"/>
      <c r="C115" s="25"/>
      <c r="D115" s="26"/>
      <c r="E115" s="25"/>
      <c r="F115" s="26">
        <v>64</v>
      </c>
      <c r="G115" s="25"/>
      <c r="H115" s="26"/>
      <c r="I115" s="27">
        <f t="shared" si="5"/>
        <v>0</v>
      </c>
      <c r="J115" s="25"/>
      <c r="K115" s="26">
        <v>64</v>
      </c>
      <c r="L115" s="25"/>
      <c r="M115" s="26"/>
      <c r="N115" s="25"/>
      <c r="O115" s="26">
        <v>64</v>
      </c>
      <c r="P115" s="28">
        <f t="shared" si="9"/>
        <v>0</v>
      </c>
      <c r="Q115" s="25"/>
      <c r="R115" s="26"/>
      <c r="S115" s="25"/>
      <c r="T115" s="26">
        <v>64</v>
      </c>
      <c r="U115" s="25"/>
      <c r="V115" s="26"/>
      <c r="W115" s="29">
        <f t="shared" si="6"/>
        <v>0</v>
      </c>
      <c r="X115" s="25"/>
      <c r="Y115" s="26">
        <v>64</v>
      </c>
      <c r="Z115" s="25"/>
      <c r="AA115" s="26"/>
      <c r="AB115" s="25"/>
      <c r="AC115" s="26">
        <v>64</v>
      </c>
      <c r="AD115" s="30">
        <f t="shared" si="7"/>
        <v>0</v>
      </c>
      <c r="AE115" s="31">
        <f t="shared" si="8"/>
        <v>0</v>
      </c>
    </row>
    <row r="116" spans="1:31">
      <c r="A116" s="36" t="s">
        <v>215</v>
      </c>
      <c r="B116" s="43"/>
      <c r="C116" s="37"/>
      <c r="D116" s="38"/>
      <c r="E116" s="37"/>
      <c r="F116" s="26">
        <v>64</v>
      </c>
      <c r="G116" s="37"/>
      <c r="H116" s="38"/>
      <c r="I116" s="39">
        <f t="shared" si="5"/>
        <v>0</v>
      </c>
      <c r="J116" s="37">
        <v>40</v>
      </c>
      <c r="K116" s="26">
        <v>64</v>
      </c>
      <c r="L116" s="37"/>
      <c r="M116" s="38"/>
      <c r="N116" s="37">
        <v>40</v>
      </c>
      <c r="O116" s="26">
        <v>64</v>
      </c>
      <c r="P116" s="39">
        <f t="shared" si="9"/>
        <v>5120</v>
      </c>
      <c r="Q116" s="37"/>
      <c r="R116" s="38"/>
      <c r="S116" s="37">
        <v>40</v>
      </c>
      <c r="T116" s="26">
        <v>64</v>
      </c>
      <c r="U116" s="37"/>
      <c r="V116" s="38"/>
      <c r="W116" s="29">
        <f t="shared" si="6"/>
        <v>2560</v>
      </c>
      <c r="X116" s="37">
        <v>40</v>
      </c>
      <c r="Y116" s="26">
        <v>64</v>
      </c>
      <c r="Z116" s="37"/>
      <c r="AA116" s="38"/>
      <c r="AB116" s="37">
        <v>40</v>
      </c>
      <c r="AC116" s="26">
        <v>64</v>
      </c>
      <c r="AD116" s="39">
        <f t="shared" si="7"/>
        <v>5120</v>
      </c>
      <c r="AE116" s="40">
        <f t="shared" si="8"/>
        <v>12800</v>
      </c>
    </row>
    <row r="117" spans="1:31">
      <c r="A117" s="24" t="s">
        <v>216</v>
      </c>
      <c r="B117" s="42"/>
      <c r="C117" s="25"/>
      <c r="D117" s="26"/>
      <c r="E117" s="25"/>
      <c r="F117" s="26">
        <v>64</v>
      </c>
      <c r="G117" s="25"/>
      <c r="H117" s="26"/>
      <c r="I117" s="27">
        <f t="shared" si="5"/>
        <v>0</v>
      </c>
      <c r="J117" s="25"/>
      <c r="K117" s="26">
        <v>64</v>
      </c>
      <c r="L117" s="25"/>
      <c r="M117" s="26"/>
      <c r="N117" s="25"/>
      <c r="O117" s="26">
        <v>64</v>
      </c>
      <c r="P117" s="28">
        <f t="shared" si="9"/>
        <v>0</v>
      </c>
      <c r="Q117" s="25"/>
      <c r="R117" s="26"/>
      <c r="S117" s="25"/>
      <c r="T117" s="26">
        <v>64</v>
      </c>
      <c r="U117" s="25"/>
      <c r="V117" s="26"/>
      <c r="W117" s="29">
        <f t="shared" si="6"/>
        <v>0</v>
      </c>
      <c r="X117" s="25"/>
      <c r="Y117" s="26">
        <v>64</v>
      </c>
      <c r="Z117" s="25"/>
      <c r="AA117" s="26"/>
      <c r="AB117" s="25"/>
      <c r="AC117" s="26">
        <v>64</v>
      </c>
      <c r="AD117" s="30">
        <f t="shared" si="7"/>
        <v>0</v>
      </c>
      <c r="AE117" s="31">
        <f t="shared" si="8"/>
        <v>0</v>
      </c>
    </row>
    <row r="118" spans="1:31">
      <c r="A118" s="77" t="s">
        <v>217</v>
      </c>
      <c r="B118" s="42"/>
      <c r="C118" s="25"/>
      <c r="D118" s="26"/>
      <c r="E118" s="25"/>
      <c r="F118" s="26">
        <v>64</v>
      </c>
      <c r="G118" s="25"/>
      <c r="H118" s="26"/>
      <c r="I118" s="27">
        <f t="shared" si="5"/>
        <v>0</v>
      </c>
      <c r="J118" s="25"/>
      <c r="K118" s="26"/>
      <c r="L118" s="25"/>
      <c r="M118" s="26"/>
      <c r="N118" s="25"/>
      <c r="O118" s="26"/>
      <c r="P118" s="28"/>
      <c r="Q118" s="25"/>
      <c r="R118" s="26"/>
      <c r="S118" s="25"/>
      <c r="T118" s="26"/>
      <c r="U118" s="25"/>
      <c r="V118" s="26"/>
      <c r="W118" s="29"/>
      <c r="X118" s="25"/>
      <c r="Y118" s="26"/>
      <c r="Z118" s="25"/>
      <c r="AA118" s="26"/>
      <c r="AB118" s="25"/>
      <c r="AC118" s="26"/>
      <c r="AD118" s="30"/>
      <c r="AE118" s="31"/>
    </row>
    <row r="119" spans="1:31">
      <c r="A119" s="77" t="s">
        <v>218</v>
      </c>
      <c r="B119" s="42"/>
      <c r="C119" s="25"/>
      <c r="D119" s="26"/>
      <c r="E119" s="25"/>
      <c r="F119" s="26"/>
      <c r="G119" s="25"/>
      <c r="H119" s="26"/>
      <c r="I119" s="27"/>
      <c r="J119" s="25"/>
      <c r="K119" s="26"/>
      <c r="L119" s="25"/>
      <c r="M119" s="26"/>
      <c r="N119" s="25"/>
      <c r="O119" s="26"/>
      <c r="P119" s="28"/>
      <c r="Q119" s="25"/>
      <c r="R119" s="26"/>
      <c r="S119" s="25"/>
      <c r="T119" s="26"/>
      <c r="U119" s="25"/>
      <c r="V119" s="26"/>
      <c r="W119" s="29"/>
      <c r="X119" s="25"/>
      <c r="Y119" s="26"/>
      <c r="Z119" s="25"/>
      <c r="AA119" s="26"/>
      <c r="AB119" s="25"/>
      <c r="AC119" s="26"/>
      <c r="AD119" s="30"/>
      <c r="AE119" s="31"/>
    </row>
    <row r="120" spans="1:31">
      <c r="A120" s="36" t="s">
        <v>219</v>
      </c>
      <c r="B120" s="43"/>
      <c r="C120" s="37"/>
      <c r="D120" s="38"/>
      <c r="E120" s="37"/>
      <c r="F120" s="38">
        <v>31.9</v>
      </c>
      <c r="G120" s="37"/>
      <c r="H120" s="38"/>
      <c r="I120" s="39">
        <f t="shared" si="5"/>
        <v>0</v>
      </c>
      <c r="J120" s="37"/>
      <c r="K120" s="38">
        <v>31.9</v>
      </c>
      <c r="L120" s="37"/>
      <c r="M120" s="38"/>
      <c r="N120" s="37"/>
      <c r="O120" s="38">
        <v>31.9</v>
      </c>
      <c r="P120" s="39">
        <f t="shared" si="9"/>
        <v>0</v>
      </c>
      <c r="Q120" s="37"/>
      <c r="R120" s="38"/>
      <c r="S120" s="37"/>
      <c r="T120" s="38">
        <v>31.9</v>
      </c>
      <c r="U120" s="37"/>
      <c r="V120" s="38"/>
      <c r="W120" s="29">
        <f t="shared" si="6"/>
        <v>0</v>
      </c>
      <c r="X120" s="37"/>
      <c r="Y120" s="38">
        <v>31.9</v>
      </c>
      <c r="Z120" s="37"/>
      <c r="AA120" s="38"/>
      <c r="AB120" s="37"/>
      <c r="AC120" s="38">
        <v>31.9</v>
      </c>
      <c r="AD120" s="39">
        <f t="shared" si="7"/>
        <v>0</v>
      </c>
      <c r="AE120" s="40">
        <f t="shared" si="8"/>
        <v>0</v>
      </c>
    </row>
    <row r="121" spans="1:31">
      <c r="A121" s="24" t="s">
        <v>220</v>
      </c>
      <c r="B121" s="42"/>
      <c r="C121" s="25"/>
      <c r="D121" s="26"/>
      <c r="E121" s="25">
        <v>350</v>
      </c>
      <c r="F121" s="38">
        <v>31.9</v>
      </c>
      <c r="G121" s="25"/>
      <c r="H121" s="26"/>
      <c r="I121" s="27">
        <f t="shared" si="5"/>
        <v>11165</v>
      </c>
      <c r="J121" s="25">
        <v>200</v>
      </c>
      <c r="K121" s="38">
        <v>31.9</v>
      </c>
      <c r="L121" s="25"/>
      <c r="M121" s="26"/>
      <c r="N121" s="25">
        <v>200</v>
      </c>
      <c r="O121" s="38">
        <v>31.9</v>
      </c>
      <c r="P121" s="28">
        <f t="shared" si="9"/>
        <v>12760</v>
      </c>
      <c r="Q121" s="25"/>
      <c r="R121" s="26"/>
      <c r="S121" s="25">
        <v>200</v>
      </c>
      <c r="T121" s="38">
        <v>31.9</v>
      </c>
      <c r="U121" s="25"/>
      <c r="V121" s="26"/>
      <c r="W121" s="29">
        <f t="shared" si="6"/>
        <v>6380</v>
      </c>
      <c r="X121" s="25">
        <v>200</v>
      </c>
      <c r="Y121" s="38">
        <v>31.9</v>
      </c>
      <c r="Z121" s="25"/>
      <c r="AA121" s="26"/>
      <c r="AB121" s="25">
        <v>200</v>
      </c>
      <c r="AC121" s="38">
        <v>31.9</v>
      </c>
      <c r="AD121" s="30">
        <f t="shared" si="7"/>
        <v>12760</v>
      </c>
      <c r="AE121" s="31">
        <f t="shared" si="8"/>
        <v>43065</v>
      </c>
    </row>
    <row r="122" spans="1:31">
      <c r="A122" s="36" t="s">
        <v>221</v>
      </c>
      <c r="B122" s="43"/>
      <c r="C122" s="37"/>
      <c r="D122" s="38"/>
      <c r="E122" s="37"/>
      <c r="F122" s="38">
        <v>31.9</v>
      </c>
      <c r="G122" s="37"/>
      <c r="H122" s="38"/>
      <c r="I122" s="39">
        <f t="shared" si="5"/>
        <v>0</v>
      </c>
      <c r="J122" s="37">
        <v>10</v>
      </c>
      <c r="K122" s="38">
        <v>31.9</v>
      </c>
      <c r="L122" s="37"/>
      <c r="M122" s="38"/>
      <c r="N122" s="37">
        <v>10</v>
      </c>
      <c r="O122" s="38">
        <v>31.9</v>
      </c>
      <c r="P122" s="39">
        <f t="shared" si="9"/>
        <v>638</v>
      </c>
      <c r="Q122" s="37"/>
      <c r="R122" s="38"/>
      <c r="S122" s="37">
        <v>10</v>
      </c>
      <c r="T122" s="38">
        <v>31.9</v>
      </c>
      <c r="U122" s="37"/>
      <c r="V122" s="38"/>
      <c r="W122" s="29">
        <f t="shared" si="6"/>
        <v>319</v>
      </c>
      <c r="X122" s="37">
        <v>10</v>
      </c>
      <c r="Y122" s="38">
        <v>31.9</v>
      </c>
      <c r="Z122" s="37"/>
      <c r="AA122" s="38"/>
      <c r="AB122" s="37">
        <v>10</v>
      </c>
      <c r="AC122" s="38">
        <v>31.9</v>
      </c>
      <c r="AD122" s="39">
        <f t="shared" si="7"/>
        <v>638</v>
      </c>
      <c r="AE122" s="40">
        <f t="shared" si="8"/>
        <v>1595</v>
      </c>
    </row>
    <row r="123" spans="1:31">
      <c r="A123" s="24" t="s">
        <v>222</v>
      </c>
      <c r="B123" s="42"/>
      <c r="C123" s="25"/>
      <c r="D123" s="26"/>
      <c r="E123" s="25">
        <v>10000</v>
      </c>
      <c r="F123" s="26">
        <v>1.89</v>
      </c>
      <c r="G123" s="25"/>
      <c r="H123" s="26"/>
      <c r="I123" s="27">
        <f t="shared" si="5"/>
        <v>18900</v>
      </c>
      <c r="J123" s="25">
        <v>2000</v>
      </c>
      <c r="K123" s="26"/>
      <c r="L123" s="25"/>
      <c r="M123" s="26"/>
      <c r="N123" s="25">
        <v>2000</v>
      </c>
      <c r="O123" s="26">
        <v>1.99</v>
      </c>
      <c r="P123" s="28">
        <f t="shared" si="9"/>
        <v>3980</v>
      </c>
      <c r="Q123" s="25"/>
      <c r="R123" s="26"/>
      <c r="S123" s="25">
        <v>2000</v>
      </c>
      <c r="T123" s="26">
        <v>1.99</v>
      </c>
      <c r="U123" s="25"/>
      <c r="V123" s="26"/>
      <c r="W123" s="29">
        <f t="shared" si="6"/>
        <v>3980</v>
      </c>
      <c r="X123" s="25">
        <v>2000</v>
      </c>
      <c r="Y123" s="26">
        <v>1.99</v>
      </c>
      <c r="Z123" s="25"/>
      <c r="AA123" s="26"/>
      <c r="AB123" s="25">
        <v>2000</v>
      </c>
      <c r="AC123" s="26">
        <v>1.99</v>
      </c>
      <c r="AD123" s="30">
        <f t="shared" si="7"/>
        <v>7960</v>
      </c>
      <c r="AE123" s="31">
        <f t="shared" si="8"/>
        <v>34820</v>
      </c>
    </row>
    <row r="124" spans="1:31">
      <c r="A124" s="36" t="s">
        <v>223</v>
      </c>
      <c r="B124" s="43"/>
      <c r="C124" s="37"/>
      <c r="D124" s="38"/>
      <c r="E124" s="37"/>
      <c r="F124" s="38"/>
      <c r="G124" s="37"/>
      <c r="H124" s="38"/>
      <c r="I124" s="39">
        <f t="shared" si="5"/>
        <v>0</v>
      </c>
      <c r="J124" s="37">
        <v>29400</v>
      </c>
      <c r="K124" s="38"/>
      <c r="L124" s="37"/>
      <c r="M124" s="38"/>
      <c r="N124" s="37"/>
      <c r="O124" s="38"/>
      <c r="P124" s="39">
        <f t="shared" si="9"/>
        <v>0</v>
      </c>
      <c r="Q124" s="37"/>
      <c r="R124" s="38"/>
      <c r="S124" s="37"/>
      <c r="T124" s="38"/>
      <c r="U124" s="37"/>
      <c r="V124" s="38"/>
      <c r="W124" s="29">
        <f t="shared" si="6"/>
        <v>0</v>
      </c>
      <c r="X124" s="37"/>
      <c r="Y124" s="38"/>
      <c r="Z124" s="37"/>
      <c r="AA124" s="38"/>
      <c r="AB124" s="37"/>
      <c r="AC124" s="38"/>
      <c r="AD124" s="39">
        <f t="shared" si="7"/>
        <v>0</v>
      </c>
      <c r="AE124" s="40">
        <f t="shared" si="8"/>
        <v>0</v>
      </c>
    </row>
    <row r="125" spans="1:31">
      <c r="A125" s="24" t="s">
        <v>224</v>
      </c>
      <c r="B125" s="42"/>
      <c r="C125" s="25"/>
      <c r="D125" s="26"/>
      <c r="E125" s="25"/>
      <c r="F125" s="26"/>
      <c r="G125" s="25"/>
      <c r="H125" s="26"/>
      <c r="I125" s="27">
        <f t="shared" si="5"/>
        <v>0</v>
      </c>
      <c r="J125" s="25"/>
      <c r="K125" s="26"/>
      <c r="L125" s="25"/>
      <c r="M125" s="26"/>
      <c r="N125" s="25"/>
      <c r="O125" s="26"/>
      <c r="P125" s="28">
        <f t="shared" si="9"/>
        <v>0</v>
      </c>
      <c r="Q125" s="25"/>
      <c r="R125" s="26"/>
      <c r="S125" s="25"/>
      <c r="T125" s="26"/>
      <c r="U125" s="25"/>
      <c r="V125" s="26"/>
      <c r="W125" s="29">
        <f t="shared" si="6"/>
        <v>0</v>
      </c>
      <c r="X125" s="25"/>
      <c r="Y125" s="26"/>
      <c r="Z125" s="25"/>
      <c r="AA125" s="26"/>
      <c r="AB125" s="25"/>
      <c r="AC125" s="26"/>
      <c r="AD125" s="30">
        <f t="shared" si="7"/>
        <v>0</v>
      </c>
      <c r="AE125" s="31">
        <f t="shared" si="8"/>
        <v>0</v>
      </c>
    </row>
    <row r="126" spans="1:31">
      <c r="A126" s="36" t="s">
        <v>225</v>
      </c>
      <c r="B126" s="43"/>
      <c r="C126" s="37"/>
      <c r="D126" s="38"/>
      <c r="E126" s="37"/>
      <c r="F126" s="38"/>
      <c r="G126" s="37"/>
      <c r="H126" s="38"/>
      <c r="I126" s="39">
        <f t="shared" si="5"/>
        <v>0</v>
      </c>
      <c r="J126" s="37">
        <v>1000</v>
      </c>
      <c r="K126" s="38"/>
      <c r="L126" s="37"/>
      <c r="M126" s="38"/>
      <c r="N126" s="37"/>
      <c r="O126" s="38"/>
      <c r="P126" s="39">
        <f t="shared" si="9"/>
        <v>0</v>
      </c>
      <c r="Q126" s="37"/>
      <c r="R126" s="38"/>
      <c r="S126" s="37"/>
      <c r="T126" s="38"/>
      <c r="U126" s="37"/>
      <c r="V126" s="38"/>
      <c r="W126" s="29">
        <f t="shared" si="6"/>
        <v>0</v>
      </c>
      <c r="X126" s="37"/>
      <c r="Y126" s="38"/>
      <c r="Z126" s="37"/>
      <c r="AA126" s="38"/>
      <c r="AB126" s="37"/>
      <c r="AC126" s="38"/>
      <c r="AD126" s="39">
        <f t="shared" si="7"/>
        <v>0</v>
      </c>
      <c r="AE126" s="40">
        <f t="shared" si="8"/>
        <v>0</v>
      </c>
    </row>
    <row r="127" spans="1:31" ht="15.6" customHeight="1">
      <c r="A127" s="24" t="s">
        <v>226</v>
      </c>
      <c r="B127" s="42"/>
      <c r="C127" s="25"/>
      <c r="D127" s="26"/>
      <c r="E127" s="25"/>
      <c r="F127" s="26"/>
      <c r="G127" s="25"/>
      <c r="H127" s="26"/>
      <c r="I127" s="27">
        <f t="shared" si="5"/>
        <v>0</v>
      </c>
      <c r="J127" s="25"/>
      <c r="K127" s="26"/>
      <c r="L127" s="25"/>
      <c r="M127" s="26"/>
      <c r="N127" s="25"/>
      <c r="O127" s="26"/>
      <c r="P127" s="28">
        <f t="shared" si="9"/>
        <v>0</v>
      </c>
      <c r="Q127" s="25"/>
      <c r="R127" s="26"/>
      <c r="S127" s="25"/>
      <c r="T127" s="26"/>
      <c r="U127" s="25"/>
      <c r="V127" s="26"/>
      <c r="W127" s="29">
        <f t="shared" si="6"/>
        <v>0</v>
      </c>
      <c r="X127" s="25"/>
      <c r="Y127" s="26"/>
      <c r="Z127" s="25"/>
      <c r="AA127" s="26"/>
      <c r="AB127" s="25"/>
      <c r="AC127" s="26"/>
      <c r="AD127" s="30">
        <f t="shared" si="7"/>
        <v>0</v>
      </c>
      <c r="AE127" s="31">
        <f t="shared" si="8"/>
        <v>0</v>
      </c>
    </row>
    <row r="128" spans="1:31">
      <c r="A128" s="36" t="s">
        <v>227</v>
      </c>
      <c r="B128" s="43"/>
      <c r="C128" s="37"/>
      <c r="D128" s="38"/>
      <c r="E128" s="37"/>
      <c r="F128" s="38"/>
      <c r="G128" s="37"/>
      <c r="H128" s="38"/>
      <c r="I128" s="39">
        <f t="shared" si="5"/>
        <v>0</v>
      </c>
      <c r="J128" s="37"/>
      <c r="K128" s="38"/>
      <c r="L128" s="37"/>
      <c r="M128" s="38"/>
      <c r="N128" s="37"/>
      <c r="O128" s="38"/>
      <c r="P128" s="39">
        <f t="shared" si="9"/>
        <v>0</v>
      </c>
      <c r="Q128" s="37"/>
      <c r="R128" s="38"/>
      <c r="S128" s="37"/>
      <c r="T128" s="38"/>
      <c r="U128" s="37"/>
      <c r="V128" s="38"/>
      <c r="W128" s="29">
        <f t="shared" si="6"/>
        <v>0</v>
      </c>
      <c r="X128" s="37"/>
      <c r="Y128" s="38"/>
      <c r="Z128" s="37"/>
      <c r="AA128" s="38"/>
      <c r="AB128" s="37"/>
      <c r="AC128" s="38"/>
      <c r="AD128" s="39">
        <f t="shared" si="7"/>
        <v>0</v>
      </c>
      <c r="AE128" s="40">
        <f t="shared" si="8"/>
        <v>0</v>
      </c>
    </row>
    <row r="129" spans="1:31">
      <c r="A129" s="24" t="s">
        <v>228</v>
      </c>
      <c r="B129" s="42"/>
      <c r="C129" s="25"/>
      <c r="D129" s="26"/>
      <c r="E129" s="25"/>
      <c r="F129" s="26"/>
      <c r="G129" s="25"/>
      <c r="H129" s="26"/>
      <c r="I129" s="27">
        <f t="shared" si="5"/>
        <v>0</v>
      </c>
      <c r="J129" s="25"/>
      <c r="K129" s="26"/>
      <c r="L129" s="25"/>
      <c r="M129" s="26"/>
      <c r="N129" s="25"/>
      <c r="O129" s="26"/>
      <c r="P129" s="28">
        <f t="shared" si="9"/>
        <v>0</v>
      </c>
      <c r="Q129" s="25"/>
      <c r="R129" s="26"/>
      <c r="S129" s="25"/>
      <c r="T129" s="26"/>
      <c r="U129" s="25"/>
      <c r="V129" s="26"/>
      <c r="W129" s="29">
        <f t="shared" si="6"/>
        <v>0</v>
      </c>
      <c r="X129" s="25"/>
      <c r="Y129" s="26"/>
      <c r="Z129" s="25"/>
      <c r="AA129" s="26"/>
      <c r="AB129" s="25"/>
      <c r="AC129" s="26"/>
      <c r="AD129" s="30">
        <f t="shared" si="7"/>
        <v>0</v>
      </c>
      <c r="AE129" s="31">
        <f t="shared" si="8"/>
        <v>0</v>
      </c>
    </row>
    <row r="130" spans="1:31">
      <c r="A130" s="36" t="s">
        <v>229</v>
      </c>
      <c r="B130" s="43"/>
      <c r="C130" s="37"/>
      <c r="D130" s="38"/>
      <c r="E130" s="37">
        <v>200</v>
      </c>
      <c r="F130" s="38">
        <v>7</v>
      </c>
      <c r="G130" s="37"/>
      <c r="H130" s="38"/>
      <c r="I130" s="39">
        <f t="shared" si="5"/>
        <v>1400</v>
      </c>
      <c r="J130" s="37"/>
      <c r="K130" s="38"/>
      <c r="L130" s="37"/>
      <c r="M130" s="38"/>
      <c r="N130" s="37"/>
      <c r="O130" s="38"/>
      <c r="P130" s="39">
        <f t="shared" si="9"/>
        <v>0</v>
      </c>
      <c r="Q130" s="37"/>
      <c r="R130" s="38"/>
      <c r="S130" s="37"/>
      <c r="T130" s="38"/>
      <c r="U130" s="37"/>
      <c r="V130" s="38"/>
      <c r="W130" s="29">
        <f t="shared" si="6"/>
        <v>0</v>
      </c>
      <c r="X130" s="37"/>
      <c r="Y130" s="38"/>
      <c r="Z130" s="37"/>
      <c r="AA130" s="38"/>
      <c r="AB130" s="37"/>
      <c r="AC130" s="38"/>
      <c r="AD130" s="39">
        <f t="shared" si="7"/>
        <v>0</v>
      </c>
      <c r="AE130" s="40">
        <f t="shared" si="8"/>
        <v>1400</v>
      </c>
    </row>
    <row r="131" spans="1:31">
      <c r="A131" s="24" t="s">
        <v>230</v>
      </c>
      <c r="B131" s="42"/>
      <c r="C131" s="25"/>
      <c r="D131" s="26"/>
      <c r="E131" s="25"/>
      <c r="F131" s="26"/>
      <c r="G131" s="25"/>
      <c r="H131" s="26"/>
      <c r="I131" s="27">
        <f t="shared" si="5"/>
        <v>0</v>
      </c>
      <c r="J131" s="25"/>
      <c r="K131" s="26"/>
      <c r="L131" s="25"/>
      <c r="M131" s="26"/>
      <c r="N131" s="25"/>
      <c r="O131" s="26"/>
      <c r="P131" s="28">
        <f t="shared" si="9"/>
        <v>0</v>
      </c>
      <c r="Q131" s="25"/>
      <c r="R131" s="26"/>
      <c r="S131" s="25"/>
      <c r="T131" s="26"/>
      <c r="U131" s="25"/>
      <c r="V131" s="26"/>
      <c r="W131" s="29">
        <f t="shared" si="6"/>
        <v>0</v>
      </c>
      <c r="X131" s="25"/>
      <c r="Y131" s="26"/>
      <c r="Z131" s="25"/>
      <c r="AA131" s="26"/>
      <c r="AB131" s="25"/>
      <c r="AC131" s="26"/>
      <c r="AD131" s="30">
        <f t="shared" si="7"/>
        <v>0</v>
      </c>
      <c r="AE131" s="31">
        <f t="shared" si="8"/>
        <v>0</v>
      </c>
    </row>
    <row r="132" spans="1:31" s="75" customFormat="1">
      <c r="A132" s="76" t="s">
        <v>231</v>
      </c>
      <c r="B132" s="72"/>
      <c r="C132" s="73"/>
      <c r="D132" s="74"/>
      <c r="E132" s="78">
        <v>200</v>
      </c>
      <c r="F132" s="74">
        <v>4.45</v>
      </c>
      <c r="G132" s="73"/>
      <c r="H132" s="74"/>
      <c r="I132" s="79">
        <f t="shared" si="5"/>
        <v>890</v>
      </c>
      <c r="J132" s="78">
        <v>200</v>
      </c>
      <c r="K132" s="74">
        <v>4.45</v>
      </c>
      <c r="L132" s="73"/>
      <c r="M132" s="74"/>
      <c r="N132" s="78">
        <v>200</v>
      </c>
      <c r="O132" s="74">
        <v>4.45</v>
      </c>
      <c r="P132" s="39">
        <f t="shared" si="9"/>
        <v>1780</v>
      </c>
      <c r="Q132" s="73"/>
      <c r="R132" s="74"/>
      <c r="S132" s="78">
        <v>200</v>
      </c>
      <c r="T132" s="74">
        <v>4.45</v>
      </c>
      <c r="U132" s="73"/>
      <c r="V132" s="74"/>
      <c r="W132" s="29">
        <f t="shared" si="6"/>
        <v>890</v>
      </c>
      <c r="X132" s="78">
        <v>200</v>
      </c>
      <c r="Y132" s="74">
        <v>4.45</v>
      </c>
      <c r="Z132" s="78"/>
      <c r="AA132" s="80"/>
      <c r="AB132" s="78">
        <v>200</v>
      </c>
      <c r="AC132" s="74">
        <v>4.45</v>
      </c>
      <c r="AD132" s="79">
        <f t="shared" si="7"/>
        <v>1780</v>
      </c>
      <c r="AE132" s="81">
        <f t="shared" si="8"/>
        <v>5340</v>
      </c>
    </row>
    <row r="133" spans="1:31">
      <c r="A133" s="77" t="s">
        <v>232</v>
      </c>
      <c r="B133" s="42"/>
      <c r="C133" s="25"/>
      <c r="D133" s="26"/>
      <c r="E133" s="25">
        <v>100</v>
      </c>
      <c r="F133" s="74">
        <v>4.45</v>
      </c>
      <c r="G133" s="25"/>
      <c r="H133" s="26"/>
      <c r="I133" s="27">
        <f t="shared" si="5"/>
        <v>445</v>
      </c>
      <c r="J133" s="25">
        <v>160</v>
      </c>
      <c r="K133" s="74">
        <v>4.45</v>
      </c>
      <c r="L133" s="25"/>
      <c r="M133" s="26"/>
      <c r="N133" s="25">
        <v>160</v>
      </c>
      <c r="O133" s="74">
        <v>4.45</v>
      </c>
      <c r="P133" s="28">
        <f t="shared" si="9"/>
        <v>1424</v>
      </c>
      <c r="Q133" s="25"/>
      <c r="R133" s="26"/>
      <c r="S133" s="25">
        <v>160</v>
      </c>
      <c r="T133" s="74">
        <v>4.45</v>
      </c>
      <c r="U133" s="25"/>
      <c r="V133" s="26"/>
      <c r="W133" s="29">
        <f t="shared" si="6"/>
        <v>712</v>
      </c>
      <c r="X133" s="25">
        <v>160</v>
      </c>
      <c r="Y133" s="74">
        <v>4.45</v>
      </c>
      <c r="Z133" s="25"/>
      <c r="AA133" s="26"/>
      <c r="AB133" s="25">
        <v>160</v>
      </c>
      <c r="AC133" s="74">
        <v>4.45</v>
      </c>
      <c r="AD133" s="30">
        <f t="shared" si="7"/>
        <v>1424</v>
      </c>
      <c r="AE133" s="31">
        <f t="shared" si="8"/>
        <v>4005</v>
      </c>
    </row>
    <row r="134" spans="1:31">
      <c r="A134" s="36" t="s">
        <v>233</v>
      </c>
      <c r="B134" s="43"/>
      <c r="C134" s="37"/>
      <c r="D134" s="38"/>
      <c r="E134" s="37">
        <v>2500</v>
      </c>
      <c r="F134" s="74">
        <v>4.45</v>
      </c>
      <c r="G134" s="37"/>
      <c r="H134" s="38"/>
      <c r="I134" s="39">
        <f t="shared" si="5"/>
        <v>11125</v>
      </c>
      <c r="J134" s="37">
        <v>700</v>
      </c>
      <c r="K134" s="74">
        <v>4.45</v>
      </c>
      <c r="L134" s="37"/>
      <c r="M134" s="38"/>
      <c r="N134" s="37">
        <v>700</v>
      </c>
      <c r="O134" s="74">
        <v>4.45</v>
      </c>
      <c r="P134" s="39">
        <f t="shared" si="9"/>
        <v>6230</v>
      </c>
      <c r="Q134" s="37"/>
      <c r="R134" s="38"/>
      <c r="S134" s="37">
        <v>700</v>
      </c>
      <c r="T134" s="74">
        <v>4.45</v>
      </c>
      <c r="U134" s="37"/>
      <c r="V134" s="38"/>
      <c r="W134" s="29">
        <f t="shared" si="6"/>
        <v>3115</v>
      </c>
      <c r="X134" s="37">
        <v>700</v>
      </c>
      <c r="Y134" s="74">
        <v>4.45</v>
      </c>
      <c r="Z134" s="37"/>
      <c r="AA134" s="38"/>
      <c r="AB134" s="37">
        <v>700</v>
      </c>
      <c r="AC134" s="74">
        <v>4.45</v>
      </c>
      <c r="AD134" s="39">
        <f t="shared" si="7"/>
        <v>6230</v>
      </c>
      <c r="AE134" s="40">
        <f t="shared" si="8"/>
        <v>26700</v>
      </c>
    </row>
    <row r="135" spans="1:31">
      <c r="A135" s="24" t="s">
        <v>234</v>
      </c>
      <c r="B135" s="42"/>
      <c r="C135" s="25"/>
      <c r="D135" s="26"/>
      <c r="E135" s="25">
        <v>1000</v>
      </c>
      <c r="F135" s="74">
        <v>4.45</v>
      </c>
      <c r="G135" s="25"/>
      <c r="H135" s="26"/>
      <c r="I135" s="27">
        <f t="shared" si="5"/>
        <v>4450</v>
      </c>
      <c r="J135" s="25">
        <v>400</v>
      </c>
      <c r="K135" s="74">
        <v>4.45</v>
      </c>
      <c r="L135" s="25"/>
      <c r="M135" s="26"/>
      <c r="N135" s="25">
        <v>400</v>
      </c>
      <c r="O135" s="74">
        <v>4.45</v>
      </c>
      <c r="P135" s="28">
        <f t="shared" si="9"/>
        <v>3560</v>
      </c>
      <c r="Q135" s="25"/>
      <c r="R135" s="26"/>
      <c r="S135" s="25">
        <v>400</v>
      </c>
      <c r="T135" s="74">
        <v>4.45</v>
      </c>
      <c r="U135" s="25"/>
      <c r="V135" s="26"/>
      <c r="W135" s="29">
        <f t="shared" si="6"/>
        <v>1780</v>
      </c>
      <c r="X135" s="25">
        <v>400</v>
      </c>
      <c r="Y135" s="74">
        <v>4.45</v>
      </c>
      <c r="Z135" s="25"/>
      <c r="AA135" s="26"/>
      <c r="AB135" s="25">
        <v>400</v>
      </c>
      <c r="AC135" s="74">
        <v>4.45</v>
      </c>
      <c r="AD135" s="30">
        <f t="shared" si="7"/>
        <v>3560</v>
      </c>
      <c r="AE135" s="31">
        <f t="shared" si="8"/>
        <v>13350</v>
      </c>
    </row>
    <row r="136" spans="1:31">
      <c r="A136" s="36" t="s">
        <v>235</v>
      </c>
      <c r="B136" s="43"/>
      <c r="C136" s="37"/>
      <c r="D136" s="38"/>
      <c r="E136" s="37"/>
      <c r="F136" s="74">
        <v>4.45</v>
      </c>
      <c r="G136" s="37"/>
      <c r="H136" s="38"/>
      <c r="I136" s="39">
        <f t="shared" si="5"/>
        <v>0</v>
      </c>
      <c r="J136" s="37">
        <v>300</v>
      </c>
      <c r="K136" s="74">
        <v>4.45</v>
      </c>
      <c r="L136" s="37"/>
      <c r="M136" s="38"/>
      <c r="N136" s="37">
        <v>300</v>
      </c>
      <c r="O136" s="74">
        <v>4.45</v>
      </c>
      <c r="P136" s="39">
        <f t="shared" si="9"/>
        <v>2670</v>
      </c>
      <c r="Q136" s="37"/>
      <c r="R136" s="38"/>
      <c r="S136" s="37">
        <v>300</v>
      </c>
      <c r="T136" s="74">
        <v>4.45</v>
      </c>
      <c r="U136" s="37"/>
      <c r="V136" s="38"/>
      <c r="W136" s="29">
        <f t="shared" si="6"/>
        <v>1335</v>
      </c>
      <c r="X136" s="37">
        <v>300</v>
      </c>
      <c r="Y136" s="74">
        <v>4.45</v>
      </c>
      <c r="Z136" s="37"/>
      <c r="AA136" s="38"/>
      <c r="AB136" s="37">
        <v>300</v>
      </c>
      <c r="AC136" s="74">
        <v>4.45</v>
      </c>
      <c r="AD136" s="39">
        <f t="shared" si="7"/>
        <v>2670</v>
      </c>
      <c r="AE136" s="40">
        <f t="shared" si="8"/>
        <v>6675</v>
      </c>
    </row>
    <row r="137" spans="1:31">
      <c r="A137" s="76" t="s">
        <v>236</v>
      </c>
      <c r="B137" s="43"/>
      <c r="C137" s="37"/>
      <c r="D137" s="38"/>
      <c r="E137" s="37">
        <v>1500</v>
      </c>
      <c r="F137" s="74">
        <v>4.45</v>
      </c>
      <c r="G137" s="37"/>
      <c r="H137" s="38"/>
      <c r="I137" s="39"/>
      <c r="J137" s="37"/>
      <c r="K137" s="74"/>
      <c r="L137" s="37"/>
      <c r="M137" s="38"/>
      <c r="N137" s="37"/>
      <c r="O137" s="74"/>
      <c r="P137" s="39"/>
      <c r="Q137" s="37"/>
      <c r="R137" s="38"/>
      <c r="S137" s="37"/>
      <c r="T137" s="74"/>
      <c r="U137" s="37"/>
      <c r="V137" s="38"/>
      <c r="W137" s="29"/>
      <c r="X137" s="37"/>
      <c r="Y137" s="74"/>
      <c r="Z137" s="37"/>
      <c r="AA137" s="38"/>
      <c r="AB137" s="37"/>
      <c r="AC137" s="74"/>
      <c r="AD137" s="39"/>
      <c r="AE137" s="40"/>
    </row>
    <row r="138" spans="1:31">
      <c r="A138" s="24" t="s">
        <v>237</v>
      </c>
      <c r="B138" s="42"/>
      <c r="C138" s="25"/>
      <c r="D138" s="26"/>
      <c r="E138" s="25"/>
      <c r="F138" s="74">
        <v>4.45</v>
      </c>
      <c r="G138" s="25"/>
      <c r="H138" s="26"/>
      <c r="I138" s="27">
        <f t="shared" si="5"/>
        <v>0</v>
      </c>
      <c r="J138" s="25">
        <v>100</v>
      </c>
      <c r="K138" s="74">
        <v>4.45</v>
      </c>
      <c r="L138" s="25"/>
      <c r="M138" s="26"/>
      <c r="N138" s="25">
        <v>100</v>
      </c>
      <c r="O138" s="74">
        <v>4.45</v>
      </c>
      <c r="P138" s="28">
        <f t="shared" si="9"/>
        <v>890</v>
      </c>
      <c r="Q138" s="25"/>
      <c r="R138" s="26"/>
      <c r="S138" s="25">
        <v>100</v>
      </c>
      <c r="T138" s="74">
        <v>4.45</v>
      </c>
      <c r="U138" s="25"/>
      <c r="V138" s="26"/>
      <c r="W138" s="29">
        <f t="shared" si="6"/>
        <v>445</v>
      </c>
      <c r="X138" s="25">
        <v>100</v>
      </c>
      <c r="Y138" s="74">
        <v>4.45</v>
      </c>
      <c r="Z138" s="25"/>
      <c r="AA138" s="26"/>
      <c r="AB138" s="25">
        <v>100</v>
      </c>
      <c r="AC138" s="74">
        <v>4.45</v>
      </c>
      <c r="AD138" s="30">
        <f t="shared" si="7"/>
        <v>890</v>
      </c>
      <c r="AE138" s="31">
        <f t="shared" si="8"/>
        <v>2225</v>
      </c>
    </row>
    <row r="139" spans="1:31">
      <c r="A139" s="36" t="s">
        <v>238</v>
      </c>
      <c r="B139" s="43"/>
      <c r="C139" s="37"/>
      <c r="D139" s="38"/>
      <c r="E139" s="37"/>
      <c r="F139" s="74">
        <v>4.45</v>
      </c>
      <c r="G139" s="37"/>
      <c r="H139" s="38"/>
      <c r="I139" s="39">
        <f t="shared" si="5"/>
        <v>0</v>
      </c>
      <c r="J139" s="37">
        <v>100</v>
      </c>
      <c r="K139" s="74">
        <v>4.45</v>
      </c>
      <c r="L139" s="37"/>
      <c r="M139" s="38"/>
      <c r="N139" s="37">
        <v>100</v>
      </c>
      <c r="O139" s="74">
        <v>4.45</v>
      </c>
      <c r="P139" s="39">
        <f t="shared" si="9"/>
        <v>890</v>
      </c>
      <c r="Q139" s="37"/>
      <c r="R139" s="38"/>
      <c r="S139" s="37">
        <v>100</v>
      </c>
      <c r="T139" s="74">
        <v>4.45</v>
      </c>
      <c r="U139" s="37"/>
      <c r="V139" s="38"/>
      <c r="W139" s="29">
        <f t="shared" si="6"/>
        <v>445</v>
      </c>
      <c r="X139" s="37">
        <v>100</v>
      </c>
      <c r="Y139" s="74">
        <v>4.45</v>
      </c>
      <c r="Z139" s="37"/>
      <c r="AA139" s="38"/>
      <c r="AB139" s="37">
        <v>100</v>
      </c>
      <c r="AC139" s="74">
        <v>4.45</v>
      </c>
      <c r="AD139" s="39">
        <f t="shared" si="7"/>
        <v>890</v>
      </c>
      <c r="AE139" s="40">
        <f t="shared" si="8"/>
        <v>2225</v>
      </c>
    </row>
    <row r="140" spans="1:31">
      <c r="A140" s="24" t="s">
        <v>239</v>
      </c>
      <c r="B140" s="42"/>
      <c r="C140" s="25"/>
      <c r="D140" s="26"/>
      <c r="E140" s="25"/>
      <c r="F140" s="74">
        <v>4.45</v>
      </c>
      <c r="G140" s="25"/>
      <c r="H140" s="26"/>
      <c r="I140" s="27">
        <f t="shared" si="5"/>
        <v>0</v>
      </c>
      <c r="J140" s="25">
        <v>100</v>
      </c>
      <c r="K140" s="74">
        <v>4.45</v>
      </c>
      <c r="L140" s="25"/>
      <c r="M140" s="26"/>
      <c r="N140" s="25">
        <v>100</v>
      </c>
      <c r="O140" s="74">
        <v>4.45</v>
      </c>
      <c r="P140" s="28">
        <f t="shared" si="9"/>
        <v>890</v>
      </c>
      <c r="Q140" s="25"/>
      <c r="R140" s="26"/>
      <c r="S140" s="25">
        <v>100</v>
      </c>
      <c r="T140" s="74">
        <v>4.45</v>
      </c>
      <c r="U140" s="25"/>
      <c r="V140" s="26"/>
      <c r="W140" s="29">
        <f t="shared" si="6"/>
        <v>445</v>
      </c>
      <c r="X140" s="25">
        <v>100</v>
      </c>
      <c r="Y140" s="74">
        <v>4.45</v>
      </c>
      <c r="Z140" s="25"/>
      <c r="AA140" s="26"/>
      <c r="AB140" s="25">
        <v>100</v>
      </c>
      <c r="AC140" s="74">
        <v>4.45</v>
      </c>
      <c r="AD140" s="30">
        <f t="shared" si="7"/>
        <v>890</v>
      </c>
      <c r="AE140" s="31">
        <f t="shared" si="8"/>
        <v>2225</v>
      </c>
    </row>
    <row r="141" spans="1:31">
      <c r="A141" s="36" t="s">
        <v>240</v>
      </c>
      <c r="B141" s="43"/>
      <c r="C141" s="37"/>
      <c r="D141" s="38"/>
      <c r="E141" s="37"/>
      <c r="F141" s="74">
        <v>4.45</v>
      </c>
      <c r="G141" s="37"/>
      <c r="H141" s="38"/>
      <c r="I141" s="39">
        <f t="shared" ref="I141:I159" si="10">(C141*D141)+(E141*F141)+(G141*H141)</f>
        <v>0</v>
      </c>
      <c r="J141" s="37">
        <v>100</v>
      </c>
      <c r="K141" s="74">
        <v>4.45</v>
      </c>
      <c r="L141" s="37"/>
      <c r="M141" s="38"/>
      <c r="N141" s="37">
        <v>100</v>
      </c>
      <c r="O141" s="74">
        <v>4.45</v>
      </c>
      <c r="P141" s="39">
        <f t="shared" si="9"/>
        <v>890</v>
      </c>
      <c r="Q141" s="37"/>
      <c r="R141" s="38"/>
      <c r="S141" s="37">
        <v>100</v>
      </c>
      <c r="T141" s="74">
        <v>4.45</v>
      </c>
      <c r="U141" s="37"/>
      <c r="V141" s="38"/>
      <c r="W141" s="29">
        <f t="shared" ref="W141:W159" si="11">(Q141*R141)+(S141*T141)+(U141*V141)</f>
        <v>445</v>
      </c>
      <c r="X141" s="37">
        <v>100</v>
      </c>
      <c r="Y141" s="74">
        <v>4.45</v>
      </c>
      <c r="Z141" s="37"/>
      <c r="AA141" s="38"/>
      <c r="AB141" s="37">
        <v>100</v>
      </c>
      <c r="AC141" s="74">
        <v>4.45</v>
      </c>
      <c r="AD141" s="39">
        <f t="shared" ref="AD141:AD159" si="12">(X141*Y141)+(Z141*AA141)+(AB141*AC141)</f>
        <v>890</v>
      </c>
      <c r="AE141" s="40">
        <f t="shared" ref="AE141:AE159" si="13">AD141+W141+P141+I141</f>
        <v>2225</v>
      </c>
    </row>
    <row r="142" spans="1:31">
      <c r="A142" s="24" t="s">
        <v>241</v>
      </c>
      <c r="B142" s="42"/>
      <c r="C142" s="25"/>
      <c r="D142" s="26"/>
      <c r="E142" s="25"/>
      <c r="F142" s="26"/>
      <c r="G142" s="25"/>
      <c r="H142" s="26"/>
      <c r="I142" s="27">
        <f t="shared" si="10"/>
        <v>0</v>
      </c>
      <c r="J142" s="25"/>
      <c r="K142" s="26"/>
      <c r="L142" s="25"/>
      <c r="M142" s="26"/>
      <c r="N142" s="25"/>
      <c r="O142" s="26"/>
      <c r="P142" s="28">
        <f t="shared" ref="P142:P159" si="14">(J142*K142)+(L142*M142)+(N142*O142)</f>
        <v>0</v>
      </c>
      <c r="Q142" s="25"/>
      <c r="R142" s="26"/>
      <c r="S142" s="25"/>
      <c r="T142" s="26"/>
      <c r="U142" s="25"/>
      <c r="V142" s="26"/>
      <c r="W142" s="29">
        <f t="shared" si="11"/>
        <v>0</v>
      </c>
      <c r="X142" s="25"/>
      <c r="Y142" s="26"/>
      <c r="Z142" s="25"/>
      <c r="AA142" s="26"/>
      <c r="AB142" s="25"/>
      <c r="AC142" s="26"/>
      <c r="AD142" s="30">
        <f t="shared" si="12"/>
        <v>0</v>
      </c>
      <c r="AE142" s="31">
        <f t="shared" si="13"/>
        <v>0</v>
      </c>
    </row>
    <row r="143" spans="1:31">
      <c r="A143" s="36" t="s">
        <v>242</v>
      </c>
      <c r="B143" s="43"/>
      <c r="C143" s="37"/>
      <c r="D143" s="38"/>
      <c r="E143" s="37"/>
      <c r="F143" s="38"/>
      <c r="G143" s="37"/>
      <c r="H143" s="38"/>
      <c r="I143" s="39">
        <f t="shared" si="10"/>
        <v>0</v>
      </c>
      <c r="J143" s="37"/>
      <c r="K143" s="38"/>
      <c r="L143" s="37"/>
      <c r="M143" s="38"/>
      <c r="N143" s="37"/>
      <c r="O143" s="38"/>
      <c r="P143" s="39">
        <f t="shared" si="14"/>
        <v>0</v>
      </c>
      <c r="Q143" s="37"/>
      <c r="R143" s="38"/>
      <c r="S143" s="37"/>
      <c r="T143" s="38"/>
      <c r="U143" s="37"/>
      <c r="V143" s="38"/>
      <c r="W143" s="29">
        <f t="shared" si="11"/>
        <v>0</v>
      </c>
      <c r="X143" s="37"/>
      <c r="Y143" s="38"/>
      <c r="Z143" s="37"/>
      <c r="AA143" s="38"/>
      <c r="AB143" s="37"/>
      <c r="AC143" s="38"/>
      <c r="AD143" s="39">
        <f t="shared" si="12"/>
        <v>0</v>
      </c>
      <c r="AE143" s="40">
        <f t="shared" si="13"/>
        <v>0</v>
      </c>
    </row>
    <row r="144" spans="1:31">
      <c r="A144" s="24" t="s">
        <v>243</v>
      </c>
      <c r="B144" s="42"/>
      <c r="C144" s="25"/>
      <c r="D144" s="26"/>
      <c r="E144" s="25"/>
      <c r="F144" s="26"/>
      <c r="G144" s="25"/>
      <c r="H144" s="26"/>
      <c r="I144" s="27">
        <f t="shared" si="10"/>
        <v>0</v>
      </c>
      <c r="J144" s="25"/>
      <c r="K144" s="26"/>
      <c r="L144" s="25"/>
      <c r="M144" s="26"/>
      <c r="N144" s="25"/>
      <c r="O144" s="26"/>
      <c r="P144" s="28">
        <f t="shared" si="14"/>
        <v>0</v>
      </c>
      <c r="Q144" s="25"/>
      <c r="R144" s="26"/>
      <c r="S144" s="25"/>
      <c r="T144" s="26"/>
      <c r="U144" s="25"/>
      <c r="V144" s="26"/>
      <c r="W144" s="29">
        <f t="shared" si="11"/>
        <v>0</v>
      </c>
      <c r="X144" s="25"/>
      <c r="Y144" s="26"/>
      <c r="Z144" s="25"/>
      <c r="AA144" s="26"/>
      <c r="AB144" s="25"/>
      <c r="AC144" s="26"/>
      <c r="AD144" s="30">
        <f t="shared" si="12"/>
        <v>0</v>
      </c>
      <c r="AE144" s="31">
        <f t="shared" si="13"/>
        <v>0</v>
      </c>
    </row>
    <row r="145" spans="1:31">
      <c r="A145" s="36" t="s">
        <v>244</v>
      </c>
      <c r="B145" s="43"/>
      <c r="C145" s="37"/>
      <c r="D145" s="38"/>
      <c r="E145" s="37"/>
      <c r="F145" s="38"/>
      <c r="G145" s="37"/>
      <c r="H145" s="38"/>
      <c r="I145" s="39">
        <f t="shared" si="10"/>
        <v>0</v>
      </c>
      <c r="J145" s="37"/>
      <c r="K145" s="38"/>
      <c r="L145" s="37"/>
      <c r="M145" s="38"/>
      <c r="N145" s="37"/>
      <c r="O145" s="38"/>
      <c r="P145" s="39">
        <f t="shared" si="14"/>
        <v>0</v>
      </c>
      <c r="Q145" s="37"/>
      <c r="R145" s="38"/>
      <c r="S145" s="37"/>
      <c r="T145" s="38"/>
      <c r="U145" s="37"/>
      <c r="V145" s="38"/>
      <c r="W145" s="29">
        <f t="shared" si="11"/>
        <v>0</v>
      </c>
      <c r="X145" s="37"/>
      <c r="Y145" s="38"/>
      <c r="Z145" s="37"/>
      <c r="AA145" s="38"/>
      <c r="AB145" s="37"/>
      <c r="AC145" s="38"/>
      <c r="AD145" s="39">
        <f t="shared" si="12"/>
        <v>0</v>
      </c>
      <c r="AE145" s="40">
        <f t="shared" si="13"/>
        <v>0</v>
      </c>
    </row>
    <row r="146" spans="1:31">
      <c r="A146" s="24" t="s">
        <v>245</v>
      </c>
      <c r="B146" s="42"/>
      <c r="C146" s="25"/>
      <c r="D146" s="26"/>
      <c r="E146" s="25"/>
      <c r="F146" s="26"/>
      <c r="G146" s="25"/>
      <c r="H146" s="26"/>
      <c r="I146" s="27">
        <f t="shared" si="10"/>
        <v>0</v>
      </c>
      <c r="J146" s="25"/>
      <c r="K146" s="26"/>
      <c r="L146" s="25"/>
      <c r="M146" s="26"/>
      <c r="N146" s="25"/>
      <c r="O146" s="26"/>
      <c r="P146" s="28">
        <f t="shared" si="14"/>
        <v>0</v>
      </c>
      <c r="Q146" s="25"/>
      <c r="R146" s="26"/>
      <c r="S146" s="25"/>
      <c r="T146" s="26"/>
      <c r="U146" s="25"/>
      <c r="V146" s="26"/>
      <c r="W146" s="29">
        <f t="shared" si="11"/>
        <v>0</v>
      </c>
      <c r="X146" s="25"/>
      <c r="Y146" s="26"/>
      <c r="Z146" s="25"/>
      <c r="AA146" s="26"/>
      <c r="AB146" s="25"/>
      <c r="AC146" s="26"/>
      <c r="AD146" s="30">
        <f t="shared" si="12"/>
        <v>0</v>
      </c>
      <c r="AE146" s="31">
        <f t="shared" si="13"/>
        <v>0</v>
      </c>
    </row>
    <row r="147" spans="1:31">
      <c r="A147" s="36" t="s">
        <v>246</v>
      </c>
      <c r="B147" s="43"/>
      <c r="C147" s="37"/>
      <c r="D147" s="38"/>
      <c r="E147" s="37"/>
      <c r="F147" s="38"/>
      <c r="G147" s="37"/>
      <c r="H147" s="38"/>
      <c r="I147" s="39">
        <f t="shared" si="10"/>
        <v>0</v>
      </c>
      <c r="J147" s="37"/>
      <c r="K147" s="38"/>
      <c r="L147" s="37"/>
      <c r="M147" s="38"/>
      <c r="N147" s="37"/>
      <c r="O147" s="38"/>
      <c r="P147" s="39">
        <f t="shared" si="14"/>
        <v>0</v>
      </c>
      <c r="Q147" s="37"/>
      <c r="R147" s="38"/>
      <c r="S147" s="37"/>
      <c r="T147" s="38"/>
      <c r="U147" s="37"/>
      <c r="V147" s="38"/>
      <c r="W147" s="29">
        <f t="shared" si="11"/>
        <v>0</v>
      </c>
      <c r="X147" s="37"/>
      <c r="Y147" s="38"/>
      <c r="Z147" s="37"/>
      <c r="AA147" s="38"/>
      <c r="AB147" s="37"/>
      <c r="AC147" s="38"/>
      <c r="AD147" s="39">
        <f t="shared" si="12"/>
        <v>0</v>
      </c>
      <c r="AE147" s="40">
        <f t="shared" si="13"/>
        <v>0</v>
      </c>
    </row>
    <row r="148" spans="1:31">
      <c r="A148" s="24" t="s">
        <v>247</v>
      </c>
      <c r="B148" s="42"/>
      <c r="C148" s="25"/>
      <c r="D148" s="26"/>
      <c r="E148" s="25"/>
      <c r="F148" s="26"/>
      <c r="G148" s="25"/>
      <c r="H148" s="26"/>
      <c r="I148" s="27">
        <f t="shared" si="10"/>
        <v>0</v>
      </c>
      <c r="J148" s="25"/>
      <c r="K148" s="26"/>
      <c r="L148" s="25"/>
      <c r="M148" s="26"/>
      <c r="N148" s="25"/>
      <c r="O148" s="26"/>
      <c r="P148" s="28">
        <f t="shared" si="14"/>
        <v>0</v>
      </c>
      <c r="Q148" s="25"/>
      <c r="R148" s="26"/>
      <c r="S148" s="25"/>
      <c r="T148" s="26"/>
      <c r="U148" s="25"/>
      <c r="V148" s="26"/>
      <c r="W148" s="29">
        <f t="shared" si="11"/>
        <v>0</v>
      </c>
      <c r="X148" s="25"/>
      <c r="Y148" s="26"/>
      <c r="Z148" s="25"/>
      <c r="AA148" s="26"/>
      <c r="AB148" s="25"/>
      <c r="AC148" s="26"/>
      <c r="AD148" s="30">
        <f t="shared" si="12"/>
        <v>0</v>
      </c>
      <c r="AE148" s="31">
        <f t="shared" si="13"/>
        <v>0</v>
      </c>
    </row>
    <row r="149" spans="1:31">
      <c r="A149" s="36" t="s">
        <v>248</v>
      </c>
      <c r="B149" s="43"/>
      <c r="C149" s="37"/>
      <c r="D149" s="38"/>
      <c r="E149" s="37"/>
      <c r="F149" s="38"/>
      <c r="G149" s="37"/>
      <c r="H149" s="38"/>
      <c r="I149" s="39">
        <f t="shared" si="10"/>
        <v>0</v>
      </c>
      <c r="J149" s="37"/>
      <c r="K149" s="38"/>
      <c r="L149" s="37"/>
      <c r="M149" s="38"/>
      <c r="N149" s="37"/>
      <c r="O149" s="38"/>
      <c r="P149" s="39">
        <f t="shared" si="14"/>
        <v>0</v>
      </c>
      <c r="Q149" s="37"/>
      <c r="R149" s="38"/>
      <c r="S149" s="37"/>
      <c r="T149" s="38"/>
      <c r="U149" s="37"/>
      <c r="V149" s="38"/>
      <c r="W149" s="29">
        <f t="shared" si="11"/>
        <v>0</v>
      </c>
      <c r="X149" s="37"/>
      <c r="Y149" s="38"/>
      <c r="Z149" s="37"/>
      <c r="AA149" s="38"/>
      <c r="AB149" s="37"/>
      <c r="AC149" s="38"/>
      <c r="AD149" s="39">
        <f t="shared" si="12"/>
        <v>0</v>
      </c>
      <c r="AE149" s="40">
        <f t="shared" si="13"/>
        <v>0</v>
      </c>
    </row>
    <row r="150" spans="1:31">
      <c r="A150" s="24" t="s">
        <v>249</v>
      </c>
      <c r="B150" s="42"/>
      <c r="C150" s="25"/>
      <c r="D150" s="26"/>
      <c r="E150" s="25">
        <v>300</v>
      </c>
      <c r="F150" s="26">
        <v>13.5</v>
      </c>
      <c r="G150" s="25"/>
      <c r="H150" s="26"/>
      <c r="I150" s="27">
        <f t="shared" si="10"/>
        <v>4050</v>
      </c>
      <c r="J150" s="25"/>
      <c r="K150" s="26"/>
      <c r="L150" s="25"/>
      <c r="M150" s="26"/>
      <c r="N150" s="25"/>
      <c r="O150" s="26"/>
      <c r="P150" s="28">
        <f t="shared" si="14"/>
        <v>0</v>
      </c>
      <c r="Q150" s="25"/>
      <c r="R150" s="26"/>
      <c r="S150" s="25"/>
      <c r="T150" s="26"/>
      <c r="U150" s="25"/>
      <c r="V150" s="26"/>
      <c r="W150" s="29">
        <f t="shared" si="11"/>
        <v>0</v>
      </c>
      <c r="X150" s="25"/>
      <c r="Y150" s="26"/>
      <c r="Z150" s="25"/>
      <c r="AA150" s="26"/>
      <c r="AB150" s="25"/>
      <c r="AC150" s="26"/>
      <c r="AD150" s="30">
        <f t="shared" si="12"/>
        <v>0</v>
      </c>
      <c r="AE150" s="31">
        <f t="shared" si="13"/>
        <v>4050</v>
      </c>
    </row>
    <row r="151" spans="1:31">
      <c r="A151" s="36" t="s">
        <v>250</v>
      </c>
      <c r="B151" s="43"/>
      <c r="C151" s="37"/>
      <c r="D151" s="38"/>
      <c r="E151" s="37"/>
      <c r="F151" s="38"/>
      <c r="G151" s="37"/>
      <c r="H151" s="38"/>
      <c r="I151" s="39">
        <f t="shared" si="10"/>
        <v>0</v>
      </c>
      <c r="J151" s="37"/>
      <c r="K151" s="38"/>
      <c r="L151" s="37"/>
      <c r="M151" s="38"/>
      <c r="N151" s="37"/>
      <c r="O151" s="38"/>
      <c r="P151" s="39">
        <f t="shared" si="14"/>
        <v>0</v>
      </c>
      <c r="Q151" s="37"/>
      <c r="R151" s="38"/>
      <c r="S151" s="37"/>
      <c r="T151" s="38"/>
      <c r="U151" s="37"/>
      <c r="V151" s="38"/>
      <c r="W151" s="29">
        <f t="shared" si="11"/>
        <v>0</v>
      </c>
      <c r="X151" s="37"/>
      <c r="Y151" s="38"/>
      <c r="Z151" s="37"/>
      <c r="AA151" s="38"/>
      <c r="AB151" s="37"/>
      <c r="AC151" s="38"/>
      <c r="AD151" s="39">
        <f t="shared" si="12"/>
        <v>0</v>
      </c>
      <c r="AE151" s="40">
        <f t="shared" si="13"/>
        <v>0</v>
      </c>
    </row>
    <row r="152" spans="1:31">
      <c r="A152" s="36" t="s">
        <v>251</v>
      </c>
      <c r="B152" s="43"/>
      <c r="C152" s="37"/>
      <c r="D152" s="38"/>
      <c r="E152" s="38"/>
      <c r="F152" s="38">
        <v>34</v>
      </c>
      <c r="G152" s="37"/>
      <c r="H152" s="38"/>
      <c r="I152" s="39">
        <f t="shared" si="10"/>
        <v>0</v>
      </c>
      <c r="J152" s="37">
        <v>10</v>
      </c>
      <c r="K152" s="38">
        <v>34</v>
      </c>
      <c r="L152" s="37"/>
      <c r="M152" s="38"/>
      <c r="N152" s="37">
        <v>10</v>
      </c>
      <c r="O152" s="38">
        <v>34</v>
      </c>
      <c r="P152" s="39">
        <f t="shared" si="14"/>
        <v>680</v>
      </c>
      <c r="Q152" s="37"/>
      <c r="R152" s="38"/>
      <c r="S152" s="37">
        <v>10</v>
      </c>
      <c r="T152" s="38">
        <v>34</v>
      </c>
      <c r="U152" s="37"/>
      <c r="V152" s="38"/>
      <c r="W152" s="29">
        <f t="shared" si="11"/>
        <v>340</v>
      </c>
      <c r="X152" s="37">
        <v>10</v>
      </c>
      <c r="Y152" s="38">
        <v>34</v>
      </c>
      <c r="Z152" s="37"/>
      <c r="AA152" s="38"/>
      <c r="AB152" s="37">
        <v>10</v>
      </c>
      <c r="AC152" s="38">
        <v>34</v>
      </c>
      <c r="AD152" s="39">
        <f t="shared" si="12"/>
        <v>680</v>
      </c>
      <c r="AE152" s="40">
        <f t="shared" si="13"/>
        <v>1700</v>
      </c>
    </row>
    <row r="153" spans="1:31">
      <c r="A153" s="24" t="s">
        <v>252</v>
      </c>
      <c r="B153" s="42"/>
      <c r="C153" s="25"/>
      <c r="D153" s="26"/>
      <c r="E153" s="26"/>
      <c r="F153" s="38">
        <v>34</v>
      </c>
      <c r="G153" s="25"/>
      <c r="H153" s="26"/>
      <c r="I153" s="27">
        <f t="shared" si="10"/>
        <v>0</v>
      </c>
      <c r="J153" s="25">
        <v>10</v>
      </c>
      <c r="K153" s="38">
        <v>34</v>
      </c>
      <c r="L153" s="25"/>
      <c r="M153" s="26"/>
      <c r="N153" s="25">
        <v>10</v>
      </c>
      <c r="O153" s="38">
        <v>34</v>
      </c>
      <c r="P153" s="28">
        <f t="shared" si="14"/>
        <v>680</v>
      </c>
      <c r="Q153" s="25"/>
      <c r="R153" s="26"/>
      <c r="S153" s="25">
        <v>10</v>
      </c>
      <c r="T153" s="38">
        <v>34</v>
      </c>
      <c r="U153" s="25"/>
      <c r="V153" s="26"/>
      <c r="W153" s="29">
        <f t="shared" si="11"/>
        <v>340</v>
      </c>
      <c r="X153" s="25">
        <v>10</v>
      </c>
      <c r="Y153" s="38">
        <v>34</v>
      </c>
      <c r="Z153" s="25"/>
      <c r="AA153" s="26"/>
      <c r="AB153" s="25">
        <v>10</v>
      </c>
      <c r="AC153" s="38">
        <v>34</v>
      </c>
      <c r="AD153" s="30">
        <f t="shared" si="12"/>
        <v>680</v>
      </c>
      <c r="AE153" s="31">
        <f t="shared" si="13"/>
        <v>1700</v>
      </c>
    </row>
    <row r="154" spans="1:31">
      <c r="A154" s="36" t="s">
        <v>253</v>
      </c>
      <c r="B154" s="43"/>
      <c r="C154" s="37"/>
      <c r="D154" s="38"/>
      <c r="E154" s="38"/>
      <c r="F154" s="38">
        <v>34</v>
      </c>
      <c r="G154" s="37"/>
      <c r="H154" s="38"/>
      <c r="I154" s="39">
        <f t="shared" si="10"/>
        <v>0</v>
      </c>
      <c r="J154" s="37">
        <v>24</v>
      </c>
      <c r="K154" s="38">
        <v>34</v>
      </c>
      <c r="L154" s="37"/>
      <c r="M154" s="38"/>
      <c r="N154" s="37">
        <v>24</v>
      </c>
      <c r="O154" s="38">
        <v>34</v>
      </c>
      <c r="P154" s="39">
        <f t="shared" si="14"/>
        <v>1632</v>
      </c>
      <c r="Q154" s="37"/>
      <c r="R154" s="38"/>
      <c r="S154" s="37">
        <v>24</v>
      </c>
      <c r="T154" s="38">
        <v>34</v>
      </c>
      <c r="U154" s="37"/>
      <c r="V154" s="38"/>
      <c r="W154" s="29">
        <f t="shared" si="11"/>
        <v>816</v>
      </c>
      <c r="X154" s="37">
        <v>24</v>
      </c>
      <c r="Y154" s="38">
        <v>34</v>
      </c>
      <c r="Z154" s="37"/>
      <c r="AA154" s="38"/>
      <c r="AB154" s="37">
        <v>24</v>
      </c>
      <c r="AC154" s="38">
        <v>34</v>
      </c>
      <c r="AD154" s="39">
        <f t="shared" si="12"/>
        <v>1632</v>
      </c>
      <c r="AE154" s="40">
        <f t="shared" si="13"/>
        <v>4080</v>
      </c>
    </row>
    <row r="155" spans="1:31">
      <c r="A155" s="24" t="s">
        <v>254</v>
      </c>
      <c r="B155" s="42"/>
      <c r="C155" s="25"/>
      <c r="D155" s="26"/>
      <c r="E155" s="26"/>
      <c r="F155" s="38">
        <v>34</v>
      </c>
      <c r="G155" s="25"/>
      <c r="H155" s="26"/>
      <c r="I155" s="27">
        <f t="shared" si="10"/>
        <v>0</v>
      </c>
      <c r="J155" s="25">
        <v>20</v>
      </c>
      <c r="K155" s="38">
        <v>34</v>
      </c>
      <c r="L155" s="25"/>
      <c r="M155" s="26"/>
      <c r="N155" s="25">
        <v>20</v>
      </c>
      <c r="O155" s="38">
        <v>34</v>
      </c>
      <c r="P155" s="28">
        <f t="shared" si="14"/>
        <v>1360</v>
      </c>
      <c r="Q155" s="25"/>
      <c r="R155" s="26"/>
      <c r="S155" s="25">
        <v>20</v>
      </c>
      <c r="T155" s="38">
        <v>34</v>
      </c>
      <c r="U155" s="25"/>
      <c r="V155" s="26"/>
      <c r="W155" s="29">
        <f t="shared" si="11"/>
        <v>680</v>
      </c>
      <c r="X155" s="25">
        <v>20</v>
      </c>
      <c r="Y155" s="38">
        <v>34</v>
      </c>
      <c r="Z155" s="25"/>
      <c r="AA155" s="26"/>
      <c r="AB155" s="25">
        <v>20</v>
      </c>
      <c r="AC155" s="38">
        <v>34</v>
      </c>
      <c r="AD155" s="30">
        <f t="shared" si="12"/>
        <v>1360</v>
      </c>
      <c r="AE155" s="31">
        <f t="shared" si="13"/>
        <v>3400</v>
      </c>
    </row>
    <row r="156" spans="1:31">
      <c r="A156" s="36" t="s">
        <v>255</v>
      </c>
      <c r="B156" s="43"/>
      <c r="C156" s="37"/>
      <c r="D156" s="38"/>
      <c r="E156" s="38"/>
      <c r="F156" s="38">
        <v>32</v>
      </c>
      <c r="G156" s="37"/>
      <c r="H156" s="38"/>
      <c r="I156" s="39">
        <f t="shared" si="10"/>
        <v>0</v>
      </c>
      <c r="J156" s="37">
        <v>70</v>
      </c>
      <c r="K156" s="38">
        <v>32</v>
      </c>
      <c r="L156" s="37"/>
      <c r="M156" s="38"/>
      <c r="N156" s="37">
        <v>70</v>
      </c>
      <c r="O156" s="38">
        <v>32</v>
      </c>
      <c r="P156" s="39">
        <f t="shared" si="14"/>
        <v>4480</v>
      </c>
      <c r="Q156" s="37"/>
      <c r="R156" s="38"/>
      <c r="S156" s="37">
        <v>70</v>
      </c>
      <c r="T156" s="38">
        <v>32</v>
      </c>
      <c r="U156" s="37"/>
      <c r="V156" s="38"/>
      <c r="W156" s="29">
        <f t="shared" si="11"/>
        <v>2240</v>
      </c>
      <c r="X156" s="37">
        <v>70</v>
      </c>
      <c r="Y156" s="38">
        <v>32</v>
      </c>
      <c r="Z156" s="37"/>
      <c r="AA156" s="38"/>
      <c r="AB156" s="37">
        <v>70</v>
      </c>
      <c r="AC156" s="38">
        <v>32</v>
      </c>
      <c r="AD156" s="39">
        <f t="shared" si="12"/>
        <v>4480</v>
      </c>
      <c r="AE156" s="40">
        <f t="shared" si="13"/>
        <v>11200</v>
      </c>
    </row>
    <row r="157" spans="1:31" ht="12.6" customHeight="1">
      <c r="A157" s="24" t="s">
        <v>256</v>
      </c>
      <c r="B157" s="42"/>
      <c r="C157" s="25"/>
      <c r="D157" s="26"/>
      <c r="E157" s="26"/>
      <c r="F157" s="38">
        <v>32</v>
      </c>
      <c r="G157" s="25"/>
      <c r="H157" s="26"/>
      <c r="I157" s="27">
        <f t="shared" si="10"/>
        <v>0</v>
      </c>
      <c r="J157" s="25">
        <v>30</v>
      </c>
      <c r="K157" s="38">
        <v>32</v>
      </c>
      <c r="L157" s="25"/>
      <c r="M157" s="26"/>
      <c r="N157" s="25">
        <v>30</v>
      </c>
      <c r="O157" s="38">
        <v>32</v>
      </c>
      <c r="P157" s="28">
        <f t="shared" si="14"/>
        <v>1920</v>
      </c>
      <c r="Q157" s="25"/>
      <c r="R157" s="26"/>
      <c r="S157" s="25">
        <v>30</v>
      </c>
      <c r="T157" s="38">
        <v>32</v>
      </c>
      <c r="U157" s="25"/>
      <c r="V157" s="26"/>
      <c r="W157" s="29">
        <f t="shared" si="11"/>
        <v>960</v>
      </c>
      <c r="X157" s="25">
        <v>30</v>
      </c>
      <c r="Y157" s="38">
        <v>32</v>
      </c>
      <c r="Z157" s="25"/>
      <c r="AA157" s="26"/>
      <c r="AB157" s="25">
        <v>30</v>
      </c>
      <c r="AC157" s="38">
        <v>32</v>
      </c>
      <c r="AD157" s="30">
        <f t="shared" si="12"/>
        <v>1920</v>
      </c>
      <c r="AE157" s="31">
        <f t="shared" si="13"/>
        <v>4800</v>
      </c>
    </row>
    <row r="158" spans="1:31">
      <c r="A158" s="36" t="s">
        <v>257</v>
      </c>
      <c r="B158" s="43"/>
      <c r="C158" s="37"/>
      <c r="D158" s="38"/>
      <c r="E158" s="38"/>
      <c r="F158" s="38">
        <v>32</v>
      </c>
      <c r="G158" s="37"/>
      <c r="H158" s="38"/>
      <c r="I158" s="39">
        <f t="shared" si="10"/>
        <v>0</v>
      </c>
      <c r="J158" s="37">
        <v>60</v>
      </c>
      <c r="K158" s="38">
        <v>32</v>
      </c>
      <c r="L158" s="37"/>
      <c r="M158" s="38"/>
      <c r="N158" s="37">
        <v>60</v>
      </c>
      <c r="O158" s="38">
        <v>32</v>
      </c>
      <c r="P158" s="39">
        <f t="shared" si="14"/>
        <v>3840</v>
      </c>
      <c r="Q158" s="37"/>
      <c r="R158" s="38"/>
      <c r="S158" s="37">
        <v>60</v>
      </c>
      <c r="T158" s="38">
        <v>32</v>
      </c>
      <c r="U158" s="37"/>
      <c r="V158" s="38"/>
      <c r="W158" s="29">
        <f t="shared" si="11"/>
        <v>1920</v>
      </c>
      <c r="X158" s="37">
        <v>60</v>
      </c>
      <c r="Y158" s="38">
        <v>32</v>
      </c>
      <c r="Z158" s="37"/>
      <c r="AA158" s="38"/>
      <c r="AB158" s="37">
        <v>60</v>
      </c>
      <c r="AC158" s="38">
        <v>32</v>
      </c>
      <c r="AD158" s="39">
        <f t="shared" si="12"/>
        <v>3840</v>
      </c>
      <c r="AE158" s="40">
        <f t="shared" si="13"/>
        <v>9600</v>
      </c>
    </row>
    <row r="159" spans="1:31">
      <c r="A159" s="24" t="s">
        <v>258</v>
      </c>
      <c r="B159" s="42"/>
      <c r="C159" s="25"/>
      <c r="D159" s="26"/>
      <c r="E159" s="26"/>
      <c r="F159" s="26">
        <v>95</v>
      </c>
      <c r="G159" s="25"/>
      <c r="H159" s="26"/>
      <c r="I159" s="27">
        <f t="shared" si="10"/>
        <v>0</v>
      </c>
      <c r="J159" s="25">
        <v>20</v>
      </c>
      <c r="K159" s="26">
        <v>95</v>
      </c>
      <c r="L159" s="25"/>
      <c r="M159" s="26"/>
      <c r="N159" s="25">
        <v>20</v>
      </c>
      <c r="O159" s="26">
        <v>95</v>
      </c>
      <c r="P159" s="28">
        <f t="shared" si="14"/>
        <v>3800</v>
      </c>
      <c r="Q159" s="25"/>
      <c r="R159" s="26"/>
      <c r="S159" s="25">
        <v>20</v>
      </c>
      <c r="T159" s="26">
        <v>95</v>
      </c>
      <c r="U159" s="25"/>
      <c r="V159" s="26"/>
      <c r="W159" s="29">
        <f t="shared" si="11"/>
        <v>1900</v>
      </c>
      <c r="X159" s="25">
        <v>20</v>
      </c>
      <c r="Y159" s="26">
        <v>95</v>
      </c>
      <c r="Z159" s="25"/>
      <c r="AA159" s="26"/>
      <c r="AB159" s="25">
        <v>20</v>
      </c>
      <c r="AC159" s="26">
        <v>95</v>
      </c>
      <c r="AD159" s="30">
        <f t="shared" si="12"/>
        <v>3800</v>
      </c>
      <c r="AE159" s="31">
        <f t="shared" si="13"/>
        <v>9500</v>
      </c>
    </row>
    <row r="160" spans="1:31">
      <c r="A160" s="24" t="s">
        <v>259</v>
      </c>
      <c r="E160" s="25"/>
      <c r="AE160" s="84">
        <f>SUM(AE6:AE159)</f>
        <v>1037808.5</v>
      </c>
    </row>
    <row r="161" spans="1:10">
      <c r="A161" s="24" t="s">
        <v>260</v>
      </c>
      <c r="J161" s="3">
        <v>10</v>
      </c>
    </row>
    <row r="162" spans="1:10">
      <c r="A162" s="24" t="s">
        <v>261</v>
      </c>
      <c r="J162" s="3">
        <v>10</v>
      </c>
    </row>
    <row r="163" spans="1:10">
      <c r="A163" s="24" t="s">
        <v>262</v>
      </c>
      <c r="J163" s="3">
        <v>10</v>
      </c>
    </row>
    <row r="164" spans="1:10">
      <c r="A164" s="24" t="s">
        <v>263</v>
      </c>
      <c r="J164" s="3">
        <v>10</v>
      </c>
    </row>
    <row r="165" spans="1:10">
      <c r="A165" s="24" t="s">
        <v>264</v>
      </c>
      <c r="J165" s="3">
        <v>10</v>
      </c>
    </row>
    <row r="166" spans="1:10">
      <c r="A166" t="s">
        <v>265</v>
      </c>
      <c r="J166" s="3">
        <v>200</v>
      </c>
    </row>
    <row r="167" spans="1:10">
      <c r="A167" s="94" t="s">
        <v>266</v>
      </c>
      <c r="J167" s="3">
        <v>100</v>
      </c>
    </row>
    <row r="168" spans="1:10">
      <c r="A168" s="94" t="s">
        <v>267</v>
      </c>
      <c r="J168" s="3">
        <v>100</v>
      </c>
    </row>
  </sheetData>
  <autoFilter ref="A5:AE159" xr:uid="{00000000-0009-0000-0000-000002000000}"/>
  <mergeCells count="13">
    <mergeCell ref="AB4:AC4"/>
    <mergeCell ref="N4:O4"/>
    <mergeCell ref="Q4:R4"/>
    <mergeCell ref="S4:T4"/>
    <mergeCell ref="U4:V4"/>
    <mergeCell ref="X4:Y4"/>
    <mergeCell ref="Z4:AA4"/>
    <mergeCell ref="L4:M4"/>
    <mergeCell ref="C4:D4"/>
    <mergeCell ref="E4:F4"/>
    <mergeCell ref="G4:H4"/>
    <mergeCell ref="A4:B4"/>
    <mergeCell ref="J4:K4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workbookViewId="0">
      <selection activeCell="E35" sqref="E35"/>
    </sheetView>
  </sheetViews>
  <sheetFormatPr defaultRowHeight="12.75"/>
  <cols>
    <col min="1" max="1" width="65.140625" customWidth="1"/>
    <col min="6" max="6" width="48.7109375" bestFit="1" customWidth="1"/>
  </cols>
  <sheetData>
    <row r="1" spans="1:4">
      <c r="A1" s="69" t="s">
        <v>268</v>
      </c>
      <c r="B1" s="67">
        <v>2023</v>
      </c>
      <c r="C1" s="67">
        <v>2024</v>
      </c>
      <c r="D1" s="67">
        <v>2025</v>
      </c>
    </row>
    <row r="2" spans="1:4">
      <c r="A2" s="66" t="s">
        <v>269</v>
      </c>
      <c r="B2" s="62">
        <v>0</v>
      </c>
      <c r="C2" s="62">
        <v>0</v>
      </c>
      <c r="D2" s="65">
        <v>85300</v>
      </c>
    </row>
    <row r="3" spans="1:4">
      <c r="A3" s="66" t="s">
        <v>270</v>
      </c>
      <c r="B3" s="62">
        <v>0</v>
      </c>
      <c r="C3" s="62">
        <v>0</v>
      </c>
      <c r="D3" s="65">
        <v>53000</v>
      </c>
    </row>
    <row r="4" spans="1:4">
      <c r="A4" s="66" t="s">
        <v>271</v>
      </c>
      <c r="B4" s="62">
        <v>0</v>
      </c>
      <c r="C4" s="62">
        <v>0</v>
      </c>
      <c r="D4" s="65">
        <v>44000</v>
      </c>
    </row>
    <row r="5" spans="1:4">
      <c r="A5" s="66" t="s">
        <v>272</v>
      </c>
      <c r="B5" s="62">
        <v>0</v>
      </c>
      <c r="C5" s="62">
        <v>0</v>
      </c>
      <c r="D5" s="65">
        <v>28200</v>
      </c>
    </row>
    <row r="6" spans="1:4">
      <c r="A6" s="66" t="s">
        <v>273</v>
      </c>
      <c r="B6" s="62">
        <v>0</v>
      </c>
      <c r="C6" s="62">
        <v>0</v>
      </c>
      <c r="D6" s="65">
        <v>11380</v>
      </c>
    </row>
    <row r="7" spans="1:4">
      <c r="A7" s="66" t="s">
        <v>274</v>
      </c>
      <c r="B7" s="62">
        <v>0</v>
      </c>
      <c r="C7" s="62">
        <v>0</v>
      </c>
      <c r="D7" s="65">
        <v>6940</v>
      </c>
    </row>
    <row r="8" spans="1:4">
      <c r="A8" s="66" t="s">
        <v>275</v>
      </c>
      <c r="B8" s="62">
        <v>0</v>
      </c>
      <c r="C8" s="62">
        <v>0</v>
      </c>
      <c r="D8" s="65">
        <v>6678</v>
      </c>
    </row>
    <row r="9" spans="1:4">
      <c r="A9" s="66" t="s">
        <v>276</v>
      </c>
      <c r="B9" s="62">
        <v>0</v>
      </c>
      <c r="C9" s="62">
        <v>0</v>
      </c>
      <c r="D9" s="65">
        <v>6600</v>
      </c>
    </row>
    <row r="10" spans="1:4">
      <c r="A10" s="66" t="s">
        <v>277</v>
      </c>
      <c r="B10" s="62">
        <v>0</v>
      </c>
      <c r="C10" s="62">
        <v>0</v>
      </c>
      <c r="D10" s="65">
        <v>2034</v>
      </c>
    </row>
    <row r="11" spans="1:4">
      <c r="A11" s="66" t="s">
        <v>278</v>
      </c>
      <c r="B11" s="62">
        <v>0</v>
      </c>
      <c r="C11" s="62">
        <v>0</v>
      </c>
      <c r="D11" s="65">
        <v>1980</v>
      </c>
    </row>
    <row r="12" spans="1:4">
      <c r="A12" s="66" t="s">
        <v>279</v>
      </c>
      <c r="B12" s="62">
        <v>0</v>
      </c>
      <c r="C12" s="62">
        <v>0</v>
      </c>
      <c r="D12" s="65">
        <v>1900</v>
      </c>
    </row>
    <row r="13" spans="1:4">
      <c r="A13" s="66" t="s">
        <v>280</v>
      </c>
      <c r="B13" s="62">
        <v>0</v>
      </c>
      <c r="C13" s="62">
        <v>0</v>
      </c>
      <c r="D13" s="65">
        <v>1690</v>
      </c>
    </row>
    <row r="14" spans="1:4">
      <c r="A14" s="66" t="s">
        <v>281</v>
      </c>
      <c r="B14" s="62">
        <v>0</v>
      </c>
      <c r="C14" s="62">
        <v>0</v>
      </c>
      <c r="D14" s="65">
        <v>1410</v>
      </c>
    </row>
    <row r="15" spans="1:4">
      <c r="A15" s="66" t="s">
        <v>282</v>
      </c>
      <c r="B15" s="62">
        <v>0</v>
      </c>
      <c r="C15" s="62">
        <v>0</v>
      </c>
      <c r="D15" s="65">
        <v>1300</v>
      </c>
    </row>
    <row r="16" spans="1:4">
      <c r="A16" s="66" t="s">
        <v>283</v>
      </c>
      <c r="B16" s="62">
        <v>0</v>
      </c>
      <c r="C16" s="62">
        <v>0</v>
      </c>
      <c r="D16" s="65">
        <v>1200</v>
      </c>
    </row>
    <row r="17" spans="1:4">
      <c r="A17" s="66" t="s">
        <v>284</v>
      </c>
      <c r="B17" s="62">
        <v>0</v>
      </c>
      <c r="C17" s="62">
        <v>0</v>
      </c>
      <c r="D17" s="62">
        <v>800</v>
      </c>
    </row>
    <row r="18" spans="1:4">
      <c r="A18" s="66" t="s">
        <v>285</v>
      </c>
      <c r="B18" s="62">
        <v>0</v>
      </c>
      <c r="C18" s="62">
        <v>0</v>
      </c>
      <c r="D18" s="62">
        <v>800</v>
      </c>
    </row>
    <row r="19" spans="1:4">
      <c r="A19" s="66" t="s">
        <v>286</v>
      </c>
      <c r="B19" s="62">
        <v>0</v>
      </c>
      <c r="C19" s="62">
        <v>0</v>
      </c>
      <c r="D19" s="62">
        <v>740</v>
      </c>
    </row>
    <row r="20" spans="1:4">
      <c r="A20" s="66" t="s">
        <v>287</v>
      </c>
      <c r="B20" s="62">
        <v>0</v>
      </c>
      <c r="C20" s="62">
        <v>0</v>
      </c>
      <c r="D20" s="62">
        <v>650</v>
      </c>
    </row>
    <row r="21" spans="1:4">
      <c r="A21" s="66" t="s">
        <v>288</v>
      </c>
      <c r="B21" s="62">
        <v>0</v>
      </c>
      <c r="C21" s="62">
        <v>0</v>
      </c>
      <c r="D21" s="62">
        <v>600</v>
      </c>
    </row>
    <row r="22" spans="1:4">
      <c r="A22" s="66" t="s">
        <v>289</v>
      </c>
      <c r="B22" s="62">
        <v>0</v>
      </c>
      <c r="C22" s="62">
        <v>0</v>
      </c>
      <c r="D22" s="62">
        <v>300</v>
      </c>
    </row>
    <row r="23" spans="1:4">
      <c r="A23" s="66" t="s">
        <v>290</v>
      </c>
      <c r="B23" s="62">
        <v>0</v>
      </c>
      <c r="C23" s="62">
        <v>0</v>
      </c>
      <c r="D23" s="62">
        <v>200</v>
      </c>
    </row>
    <row r="24" spans="1:4">
      <c r="A24" s="66" t="s">
        <v>291</v>
      </c>
      <c r="B24" s="62">
        <v>0</v>
      </c>
      <c r="C24" s="62">
        <v>0</v>
      </c>
      <c r="D24" s="62">
        <v>200</v>
      </c>
    </row>
    <row r="25" spans="1:4">
      <c r="A25" s="66" t="s">
        <v>292</v>
      </c>
      <c r="B25" s="62">
        <v>0</v>
      </c>
      <c r="C25" s="62">
        <v>20</v>
      </c>
      <c r="D25" s="62">
        <v>180</v>
      </c>
    </row>
    <row r="26" spans="1:4" ht="15" customHeight="1">
      <c r="A26" s="66" t="s">
        <v>293</v>
      </c>
      <c r="B26" s="62">
        <v>0</v>
      </c>
      <c r="C26" s="62">
        <v>0</v>
      </c>
      <c r="D26" s="62">
        <v>180</v>
      </c>
    </row>
    <row r="27" spans="1:4">
      <c r="A27" s="66" t="s">
        <v>294</v>
      </c>
      <c r="B27" s="62">
        <v>0</v>
      </c>
      <c r="C27" s="62">
        <v>0</v>
      </c>
      <c r="D27" s="62">
        <v>80</v>
      </c>
    </row>
    <row r="28" spans="1:4">
      <c r="A28" s="66" t="s">
        <v>295</v>
      </c>
      <c r="B28" s="65">
        <v>1600</v>
      </c>
      <c r="C28" s="65">
        <v>1000</v>
      </c>
      <c r="D28" s="62">
        <v>75</v>
      </c>
    </row>
    <row r="29" spans="1:4">
      <c r="A29" s="66" t="s">
        <v>296</v>
      </c>
      <c r="B29" s="62">
        <v>0</v>
      </c>
      <c r="C29" s="62">
        <v>0</v>
      </c>
      <c r="D29" s="62">
        <v>68</v>
      </c>
    </row>
    <row r="30" spans="1:4">
      <c r="A30" s="66" t="s">
        <v>297</v>
      </c>
      <c r="B30" s="62">
        <v>290</v>
      </c>
      <c r="C30" s="62">
        <v>10</v>
      </c>
      <c r="D30" s="62">
        <v>55</v>
      </c>
    </row>
    <row r="31" spans="1:4">
      <c r="A31" s="66" t="s">
        <v>298</v>
      </c>
      <c r="B31" s="62">
        <v>0</v>
      </c>
      <c r="C31" s="62">
        <v>0</v>
      </c>
      <c r="D31" s="62">
        <v>30</v>
      </c>
    </row>
    <row r="32" spans="1:4" ht="13.5" customHeight="1">
      <c r="A32" s="66" t="s">
        <v>299</v>
      </c>
      <c r="B32" s="62">
        <v>0</v>
      </c>
      <c r="C32" s="62">
        <v>0</v>
      </c>
      <c r="D32" s="62">
        <v>10</v>
      </c>
    </row>
    <row r="33" spans="1:4" ht="16.5" customHeight="1">
      <c r="A33" s="66" t="s">
        <v>300</v>
      </c>
      <c r="B33" s="62">
        <v>0</v>
      </c>
      <c r="C33" s="62">
        <v>200</v>
      </c>
      <c r="D33" s="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53"/>
  <sheetViews>
    <sheetView workbookViewId="0">
      <selection sqref="A1:D1"/>
    </sheetView>
  </sheetViews>
  <sheetFormatPr defaultRowHeight="12.75"/>
  <cols>
    <col min="1" max="1" width="34.7109375" bestFit="1" customWidth="1"/>
  </cols>
  <sheetData>
    <row r="1" spans="1:4">
      <c r="A1" s="67" t="s">
        <v>301</v>
      </c>
      <c r="B1" s="67">
        <v>2023</v>
      </c>
      <c r="C1" s="67">
        <v>2024</v>
      </c>
      <c r="D1" s="67">
        <v>2025</v>
      </c>
    </row>
    <row r="2" spans="1:4">
      <c r="A2" s="62" t="s">
        <v>223</v>
      </c>
      <c r="B2" s="62">
        <v>0</v>
      </c>
      <c r="C2" s="62">
        <v>0</v>
      </c>
      <c r="D2" s="65">
        <v>58000</v>
      </c>
    </row>
    <row r="3" spans="1:4">
      <c r="A3" s="62" t="s">
        <v>302</v>
      </c>
      <c r="B3" s="62">
        <v>0</v>
      </c>
      <c r="C3" s="62">
        <v>0</v>
      </c>
      <c r="D3" s="65">
        <v>44000</v>
      </c>
    </row>
    <row r="4" spans="1:4">
      <c r="A4" s="62" t="s">
        <v>105</v>
      </c>
      <c r="B4" s="62">
        <v>0</v>
      </c>
      <c r="C4" s="62">
        <v>0</v>
      </c>
      <c r="D4" s="65">
        <v>24000</v>
      </c>
    </row>
    <row r="5" spans="1:4">
      <c r="A5" s="62" t="s">
        <v>222</v>
      </c>
      <c r="B5" s="62">
        <v>0</v>
      </c>
      <c r="C5" s="62">
        <v>0</v>
      </c>
      <c r="D5" s="65">
        <v>14000</v>
      </c>
    </row>
    <row r="6" spans="1:4">
      <c r="A6" s="62" t="s">
        <v>303</v>
      </c>
      <c r="B6" s="62">
        <v>0</v>
      </c>
      <c r="C6" s="62">
        <v>0</v>
      </c>
      <c r="D6" s="65">
        <v>12000</v>
      </c>
    </row>
    <row r="7" spans="1:4">
      <c r="A7" s="62" t="s">
        <v>182</v>
      </c>
      <c r="B7" s="62">
        <v>0</v>
      </c>
      <c r="C7" s="62">
        <v>0</v>
      </c>
      <c r="D7" s="65">
        <v>6000</v>
      </c>
    </row>
    <row r="8" spans="1:4">
      <c r="A8" s="62" t="s">
        <v>225</v>
      </c>
      <c r="B8" s="62">
        <v>0</v>
      </c>
      <c r="C8" s="62">
        <v>0</v>
      </c>
      <c r="D8" s="65">
        <v>5800</v>
      </c>
    </row>
    <row r="9" spans="1:4">
      <c r="A9" s="62" t="s">
        <v>186</v>
      </c>
      <c r="B9" s="62">
        <v>0</v>
      </c>
      <c r="C9" s="62">
        <v>0</v>
      </c>
      <c r="D9" s="65">
        <v>5500</v>
      </c>
    </row>
    <row r="10" spans="1:4">
      <c r="A10" s="62" t="s">
        <v>233</v>
      </c>
      <c r="B10" s="62">
        <v>0</v>
      </c>
      <c r="C10" s="62">
        <v>0</v>
      </c>
      <c r="D10" s="65">
        <v>4500</v>
      </c>
    </row>
    <row r="11" spans="1:4">
      <c r="A11" s="62" t="s">
        <v>237</v>
      </c>
      <c r="B11" s="62">
        <v>0</v>
      </c>
      <c r="C11" s="62">
        <v>0</v>
      </c>
      <c r="D11" s="65">
        <v>4500</v>
      </c>
    </row>
    <row r="12" spans="1:4">
      <c r="A12" s="62" t="s">
        <v>106</v>
      </c>
      <c r="B12" s="62">
        <v>0</v>
      </c>
      <c r="C12" s="62">
        <v>0</v>
      </c>
      <c r="D12" s="65">
        <v>4200</v>
      </c>
    </row>
    <row r="13" spans="1:4">
      <c r="A13" s="62" t="s">
        <v>304</v>
      </c>
      <c r="B13" s="62">
        <v>0</v>
      </c>
      <c r="C13" s="62">
        <v>0</v>
      </c>
      <c r="D13" s="65">
        <v>4000</v>
      </c>
    </row>
    <row r="14" spans="1:4">
      <c r="A14" s="62" t="s">
        <v>305</v>
      </c>
      <c r="B14" s="62">
        <v>0</v>
      </c>
      <c r="C14" s="62">
        <v>0</v>
      </c>
      <c r="D14" s="65">
        <v>4000</v>
      </c>
    </row>
    <row r="15" spans="1:4">
      <c r="A15" s="62" t="s">
        <v>231</v>
      </c>
      <c r="B15" s="62">
        <v>0</v>
      </c>
      <c r="C15" s="62">
        <v>0</v>
      </c>
      <c r="D15" s="65">
        <v>3500</v>
      </c>
    </row>
    <row r="16" spans="1:4">
      <c r="A16" s="62" t="s">
        <v>188</v>
      </c>
      <c r="B16" s="62">
        <v>0</v>
      </c>
      <c r="C16" s="62">
        <v>0</v>
      </c>
      <c r="D16" s="65">
        <v>3000</v>
      </c>
    </row>
    <row r="17" spans="1:4">
      <c r="A17" s="62" t="s">
        <v>234</v>
      </c>
      <c r="B17" s="62">
        <v>0</v>
      </c>
      <c r="C17" s="62">
        <v>0</v>
      </c>
      <c r="D17" s="65">
        <v>3000</v>
      </c>
    </row>
    <row r="18" spans="1:4">
      <c r="A18" s="62" t="s">
        <v>235</v>
      </c>
      <c r="B18" s="62">
        <v>0</v>
      </c>
      <c r="C18" s="62">
        <v>0</v>
      </c>
      <c r="D18" s="65">
        <v>3000</v>
      </c>
    </row>
    <row r="19" spans="1:4">
      <c r="A19" s="62" t="s">
        <v>306</v>
      </c>
      <c r="B19" s="62">
        <v>0</v>
      </c>
      <c r="C19" s="62">
        <v>0</v>
      </c>
      <c r="D19" s="65">
        <v>3000</v>
      </c>
    </row>
    <row r="20" spans="1:4">
      <c r="A20" s="62" t="s">
        <v>232</v>
      </c>
      <c r="B20" s="62">
        <v>0</v>
      </c>
      <c r="C20" s="62">
        <v>0</v>
      </c>
      <c r="D20" s="65">
        <v>2500</v>
      </c>
    </row>
    <row r="21" spans="1:4">
      <c r="A21" s="62" t="s">
        <v>183</v>
      </c>
      <c r="B21" s="62">
        <v>0</v>
      </c>
      <c r="C21" s="62">
        <v>0</v>
      </c>
      <c r="D21" s="65">
        <v>2480</v>
      </c>
    </row>
    <row r="22" spans="1:4">
      <c r="A22" s="62" t="s">
        <v>159</v>
      </c>
      <c r="B22" s="62">
        <v>0</v>
      </c>
      <c r="C22" s="62">
        <v>0</v>
      </c>
      <c r="D22" s="65">
        <v>2420</v>
      </c>
    </row>
    <row r="23" spans="1:4">
      <c r="A23" s="62" t="s">
        <v>160</v>
      </c>
      <c r="B23" s="62">
        <v>0</v>
      </c>
      <c r="C23" s="62">
        <v>0</v>
      </c>
      <c r="D23" s="65">
        <v>2320</v>
      </c>
    </row>
    <row r="24" spans="1:4">
      <c r="A24" s="62" t="s">
        <v>165</v>
      </c>
      <c r="B24" s="62">
        <v>0</v>
      </c>
      <c r="C24" s="62">
        <v>0</v>
      </c>
      <c r="D24" s="65">
        <v>2068</v>
      </c>
    </row>
    <row r="25" spans="1:4">
      <c r="A25" s="62" t="s">
        <v>189</v>
      </c>
      <c r="B25" s="62">
        <v>0</v>
      </c>
      <c r="C25" s="62">
        <v>0</v>
      </c>
      <c r="D25" s="65">
        <v>2000</v>
      </c>
    </row>
    <row r="26" spans="1:4">
      <c r="A26" s="62" t="s">
        <v>224</v>
      </c>
      <c r="B26" s="62">
        <v>0</v>
      </c>
      <c r="C26" s="62">
        <v>0</v>
      </c>
      <c r="D26" s="65">
        <v>2000</v>
      </c>
    </row>
    <row r="27" spans="1:4">
      <c r="A27" s="62" t="s">
        <v>307</v>
      </c>
      <c r="B27" s="62">
        <v>0</v>
      </c>
      <c r="C27" s="62">
        <v>0</v>
      </c>
      <c r="D27" s="65">
        <v>2000</v>
      </c>
    </row>
    <row r="28" spans="1:4">
      <c r="A28" s="62" t="s">
        <v>308</v>
      </c>
      <c r="B28" s="62">
        <v>0</v>
      </c>
      <c r="C28" s="62">
        <v>0</v>
      </c>
      <c r="D28" s="65">
        <v>2000</v>
      </c>
    </row>
    <row r="29" spans="1:4">
      <c r="A29" s="62" t="s">
        <v>166</v>
      </c>
      <c r="B29" s="62">
        <v>0</v>
      </c>
      <c r="C29" s="62">
        <v>0</v>
      </c>
      <c r="D29" s="65">
        <v>1870</v>
      </c>
    </row>
    <row r="30" spans="1:4">
      <c r="A30" s="62" t="s">
        <v>162</v>
      </c>
      <c r="B30" s="62">
        <v>0</v>
      </c>
      <c r="C30" s="62">
        <v>0</v>
      </c>
      <c r="D30" s="65">
        <v>1800</v>
      </c>
    </row>
    <row r="31" spans="1:4">
      <c r="A31" s="62" t="s">
        <v>167</v>
      </c>
      <c r="B31" s="62">
        <v>0</v>
      </c>
      <c r="C31" s="62">
        <v>0</v>
      </c>
      <c r="D31" s="65">
        <v>1640</v>
      </c>
    </row>
    <row r="32" spans="1:4">
      <c r="A32" s="62" t="s">
        <v>187</v>
      </c>
      <c r="B32" s="62">
        <v>0</v>
      </c>
      <c r="C32" s="62">
        <v>0</v>
      </c>
      <c r="D32" s="65">
        <v>1600</v>
      </c>
    </row>
    <row r="33" spans="1:4">
      <c r="A33" s="62" t="s">
        <v>238</v>
      </c>
      <c r="B33" s="62">
        <v>0</v>
      </c>
      <c r="C33" s="62">
        <v>0</v>
      </c>
      <c r="D33" s="65">
        <v>1500</v>
      </c>
    </row>
    <row r="34" spans="1:4">
      <c r="A34" s="62" t="s">
        <v>220</v>
      </c>
      <c r="B34" s="62">
        <v>0</v>
      </c>
      <c r="C34" s="62">
        <v>0</v>
      </c>
      <c r="D34" s="65">
        <v>1200</v>
      </c>
    </row>
    <row r="35" spans="1:4">
      <c r="A35" s="62" t="s">
        <v>164</v>
      </c>
      <c r="B35" s="62">
        <v>0</v>
      </c>
      <c r="C35" s="62">
        <v>0</v>
      </c>
      <c r="D35" s="65">
        <v>1100</v>
      </c>
    </row>
    <row r="36" spans="1:4">
      <c r="A36" s="62" t="s">
        <v>180</v>
      </c>
      <c r="B36" s="62">
        <v>0</v>
      </c>
      <c r="C36" s="62">
        <v>0</v>
      </c>
      <c r="D36" s="65">
        <v>1050</v>
      </c>
    </row>
    <row r="37" spans="1:4">
      <c r="A37" s="62" t="s">
        <v>239</v>
      </c>
      <c r="B37" s="62">
        <v>0</v>
      </c>
      <c r="C37" s="62">
        <v>0</v>
      </c>
      <c r="D37" s="65">
        <v>1000</v>
      </c>
    </row>
    <row r="38" spans="1:4">
      <c r="A38" s="62" t="s">
        <v>240</v>
      </c>
      <c r="B38" s="62">
        <v>0</v>
      </c>
      <c r="C38" s="62">
        <v>0</v>
      </c>
      <c r="D38" s="65">
        <v>1000</v>
      </c>
    </row>
    <row r="39" spans="1:4">
      <c r="A39" s="62" t="s">
        <v>309</v>
      </c>
      <c r="B39" s="62">
        <v>0</v>
      </c>
      <c r="C39" s="62">
        <v>0</v>
      </c>
      <c r="D39" s="65">
        <v>1000</v>
      </c>
    </row>
    <row r="40" spans="1:4">
      <c r="A40" s="62" t="s">
        <v>257</v>
      </c>
      <c r="B40" s="62">
        <v>0</v>
      </c>
      <c r="C40" s="62">
        <v>0</v>
      </c>
      <c r="D40" s="62">
        <v>900</v>
      </c>
    </row>
    <row r="41" spans="1:4">
      <c r="A41" s="62" t="s">
        <v>255</v>
      </c>
      <c r="B41" s="62">
        <v>0</v>
      </c>
      <c r="C41" s="62">
        <v>0</v>
      </c>
      <c r="D41" s="62">
        <v>900</v>
      </c>
    </row>
    <row r="42" spans="1:4">
      <c r="A42" s="62" t="s">
        <v>181</v>
      </c>
      <c r="B42" s="62">
        <v>0</v>
      </c>
      <c r="C42" s="62">
        <v>0</v>
      </c>
      <c r="D42" s="62">
        <v>850</v>
      </c>
    </row>
    <row r="43" spans="1:4">
      <c r="A43" s="62" t="s">
        <v>107</v>
      </c>
      <c r="B43" s="62">
        <v>0</v>
      </c>
      <c r="C43" s="62">
        <v>0</v>
      </c>
      <c r="D43" s="62">
        <v>800</v>
      </c>
    </row>
    <row r="44" spans="1:4">
      <c r="A44" s="62" t="s">
        <v>249</v>
      </c>
      <c r="B44" s="62">
        <v>0</v>
      </c>
      <c r="C44" s="62">
        <v>0</v>
      </c>
      <c r="D44" s="62">
        <v>800</v>
      </c>
    </row>
    <row r="45" spans="1:4">
      <c r="A45" s="62" t="s">
        <v>215</v>
      </c>
      <c r="B45" s="62">
        <v>0</v>
      </c>
      <c r="C45" s="62">
        <v>0</v>
      </c>
      <c r="D45" s="62">
        <v>650</v>
      </c>
    </row>
    <row r="46" spans="1:4">
      <c r="A46" s="62" t="s">
        <v>226</v>
      </c>
      <c r="B46" s="62">
        <v>0</v>
      </c>
      <c r="C46" s="62">
        <v>0</v>
      </c>
      <c r="D46" s="62">
        <v>600</v>
      </c>
    </row>
    <row r="47" spans="1:4">
      <c r="A47" s="62" t="s">
        <v>229</v>
      </c>
      <c r="B47" s="62">
        <v>0</v>
      </c>
      <c r="C47" s="62">
        <v>0</v>
      </c>
      <c r="D47" s="62">
        <v>600</v>
      </c>
    </row>
    <row r="48" spans="1:4">
      <c r="A48" s="62" t="s">
        <v>184</v>
      </c>
      <c r="B48" s="62">
        <v>0</v>
      </c>
      <c r="C48" s="62">
        <v>0</v>
      </c>
      <c r="D48" s="62">
        <v>500</v>
      </c>
    </row>
    <row r="49" spans="1:4">
      <c r="A49" s="62" t="s">
        <v>185</v>
      </c>
      <c r="B49" s="62">
        <v>0</v>
      </c>
      <c r="C49" s="62">
        <v>0</v>
      </c>
      <c r="D49" s="62">
        <v>500</v>
      </c>
    </row>
    <row r="50" spans="1:4">
      <c r="A50" s="62" t="s">
        <v>250</v>
      </c>
      <c r="B50" s="62">
        <v>0</v>
      </c>
      <c r="C50" s="62">
        <v>0</v>
      </c>
      <c r="D50" s="62">
        <v>500</v>
      </c>
    </row>
    <row r="51" spans="1:4">
      <c r="A51" s="62" t="s">
        <v>219</v>
      </c>
      <c r="B51" s="62">
        <v>0</v>
      </c>
      <c r="C51" s="62">
        <v>0</v>
      </c>
      <c r="D51" s="62">
        <v>450</v>
      </c>
    </row>
    <row r="52" spans="1:4">
      <c r="A52" s="62" t="s">
        <v>108</v>
      </c>
      <c r="B52" s="62">
        <v>0</v>
      </c>
      <c r="C52" s="62">
        <v>0</v>
      </c>
      <c r="D52" s="62">
        <v>400</v>
      </c>
    </row>
    <row r="53" spans="1:4">
      <c r="A53" s="62" t="s">
        <v>109</v>
      </c>
      <c r="B53" s="62">
        <v>0</v>
      </c>
      <c r="C53" s="62">
        <v>0</v>
      </c>
      <c r="D53" s="62">
        <v>400</v>
      </c>
    </row>
    <row r="54" spans="1:4">
      <c r="A54" s="62" t="s">
        <v>163</v>
      </c>
      <c r="B54" s="62">
        <v>0</v>
      </c>
      <c r="C54" s="62">
        <v>0</v>
      </c>
      <c r="D54" s="62">
        <v>400</v>
      </c>
    </row>
    <row r="55" spans="1:4">
      <c r="A55" s="62" t="s">
        <v>228</v>
      </c>
      <c r="B55" s="62">
        <v>0</v>
      </c>
      <c r="C55" s="62">
        <v>0</v>
      </c>
      <c r="D55" s="62">
        <v>400</v>
      </c>
    </row>
    <row r="56" spans="1:4">
      <c r="A56" s="62" t="s">
        <v>174</v>
      </c>
      <c r="B56" s="62">
        <v>0</v>
      </c>
      <c r="C56" s="62">
        <v>0</v>
      </c>
      <c r="D56" s="62">
        <v>350</v>
      </c>
    </row>
    <row r="57" spans="1:4">
      <c r="A57" s="62" t="s">
        <v>227</v>
      </c>
      <c r="B57" s="62">
        <v>0</v>
      </c>
      <c r="C57" s="62">
        <v>0</v>
      </c>
      <c r="D57" s="62">
        <v>300</v>
      </c>
    </row>
    <row r="58" spans="1:4">
      <c r="A58" s="62" t="s">
        <v>230</v>
      </c>
      <c r="B58" s="62">
        <v>0</v>
      </c>
      <c r="C58" s="62">
        <v>0</v>
      </c>
      <c r="D58" s="62">
        <v>300</v>
      </c>
    </row>
    <row r="59" spans="1:4">
      <c r="A59" s="62" t="s">
        <v>254</v>
      </c>
      <c r="B59" s="62">
        <v>0</v>
      </c>
      <c r="C59" s="62">
        <v>0</v>
      </c>
      <c r="D59" s="62">
        <v>280</v>
      </c>
    </row>
    <row r="60" spans="1:4">
      <c r="A60" s="62" t="s">
        <v>212</v>
      </c>
      <c r="B60" s="62">
        <v>0</v>
      </c>
      <c r="C60" s="62">
        <v>0</v>
      </c>
      <c r="D60" s="62">
        <v>250</v>
      </c>
    </row>
    <row r="61" spans="1:4">
      <c r="A61" s="62" t="s">
        <v>214</v>
      </c>
      <c r="B61" s="62">
        <v>0</v>
      </c>
      <c r="C61" s="62">
        <v>0</v>
      </c>
      <c r="D61" s="62">
        <v>250</v>
      </c>
    </row>
    <row r="62" spans="1:4">
      <c r="A62" s="62" t="s">
        <v>194</v>
      </c>
      <c r="B62" s="62">
        <v>0</v>
      </c>
      <c r="C62" s="62">
        <v>0</v>
      </c>
      <c r="D62" s="62">
        <v>230</v>
      </c>
    </row>
    <row r="63" spans="1:4">
      <c r="A63" s="62" t="s">
        <v>200</v>
      </c>
      <c r="B63" s="62">
        <v>0</v>
      </c>
      <c r="C63" s="62">
        <v>0</v>
      </c>
      <c r="D63" s="62">
        <v>220</v>
      </c>
    </row>
    <row r="64" spans="1:4">
      <c r="A64" s="62" t="s">
        <v>173</v>
      </c>
      <c r="B64" s="62">
        <v>0</v>
      </c>
      <c r="C64" s="62">
        <v>0</v>
      </c>
      <c r="D64" s="62">
        <v>210</v>
      </c>
    </row>
    <row r="65" spans="1:4">
      <c r="A65" s="62" t="s">
        <v>253</v>
      </c>
      <c r="B65" s="62">
        <v>0</v>
      </c>
      <c r="C65" s="62">
        <v>0</v>
      </c>
      <c r="D65" s="62">
        <v>210</v>
      </c>
    </row>
    <row r="66" spans="1:4">
      <c r="A66" s="62" t="s">
        <v>110</v>
      </c>
      <c r="B66" s="62">
        <v>0</v>
      </c>
      <c r="C66" s="62">
        <v>0</v>
      </c>
      <c r="D66" s="62">
        <v>200</v>
      </c>
    </row>
    <row r="67" spans="1:4">
      <c r="A67" s="62" t="s">
        <v>111</v>
      </c>
      <c r="B67" s="62">
        <v>0</v>
      </c>
      <c r="C67" s="62">
        <v>0</v>
      </c>
      <c r="D67" s="62">
        <v>200</v>
      </c>
    </row>
    <row r="68" spans="1:4">
      <c r="A68" s="62" t="s">
        <v>114</v>
      </c>
      <c r="B68" s="62">
        <v>0</v>
      </c>
      <c r="C68" s="62">
        <v>0</v>
      </c>
      <c r="D68" s="62">
        <v>200</v>
      </c>
    </row>
    <row r="69" spans="1:4">
      <c r="A69" s="62" t="s">
        <v>196</v>
      </c>
      <c r="B69" s="62">
        <v>0</v>
      </c>
      <c r="C69" s="62">
        <v>0</v>
      </c>
      <c r="D69" s="62">
        <v>200</v>
      </c>
    </row>
    <row r="70" spans="1:4">
      <c r="A70" s="62" t="s">
        <v>258</v>
      </c>
      <c r="B70" s="62">
        <v>0</v>
      </c>
      <c r="C70" s="62">
        <v>0</v>
      </c>
      <c r="D70" s="62">
        <v>200</v>
      </c>
    </row>
    <row r="71" spans="1:4">
      <c r="A71" s="62" t="s">
        <v>197</v>
      </c>
      <c r="B71" s="62">
        <v>0</v>
      </c>
      <c r="C71" s="62">
        <v>0</v>
      </c>
      <c r="D71" s="62">
        <v>190</v>
      </c>
    </row>
    <row r="72" spans="1:4">
      <c r="A72" s="62" t="s">
        <v>126</v>
      </c>
      <c r="B72" s="62">
        <v>0</v>
      </c>
      <c r="C72" s="62">
        <v>0</v>
      </c>
      <c r="D72" s="62">
        <v>174</v>
      </c>
    </row>
    <row r="73" spans="1:4">
      <c r="A73" s="62" t="s">
        <v>252</v>
      </c>
      <c r="B73" s="62">
        <v>0</v>
      </c>
      <c r="C73" s="62">
        <v>0</v>
      </c>
      <c r="D73" s="62">
        <v>160</v>
      </c>
    </row>
    <row r="74" spans="1:4">
      <c r="A74" s="62" t="s">
        <v>199</v>
      </c>
      <c r="B74" s="62">
        <v>0</v>
      </c>
      <c r="C74" s="62">
        <v>0</v>
      </c>
      <c r="D74" s="62">
        <v>150</v>
      </c>
    </row>
    <row r="75" spans="1:4">
      <c r="A75" s="62" t="s">
        <v>204</v>
      </c>
      <c r="B75" s="62">
        <v>0</v>
      </c>
      <c r="C75" s="62">
        <v>0</v>
      </c>
      <c r="D75" s="62">
        <v>150</v>
      </c>
    </row>
    <row r="76" spans="1:4">
      <c r="A76" s="62" t="s">
        <v>118</v>
      </c>
      <c r="B76" s="62">
        <v>0</v>
      </c>
      <c r="C76" s="62">
        <v>0</v>
      </c>
      <c r="D76" s="62">
        <v>148</v>
      </c>
    </row>
    <row r="77" spans="1:4">
      <c r="A77" s="62" t="s">
        <v>116</v>
      </c>
      <c r="B77" s="62">
        <v>0</v>
      </c>
      <c r="C77" s="62">
        <v>0</v>
      </c>
      <c r="D77" s="62">
        <v>144</v>
      </c>
    </row>
    <row r="78" spans="1:4">
      <c r="A78" s="62" t="s">
        <v>202</v>
      </c>
      <c r="B78" s="62">
        <v>0</v>
      </c>
      <c r="C78" s="62">
        <v>0</v>
      </c>
      <c r="D78" s="62">
        <v>140</v>
      </c>
    </row>
    <row r="79" spans="1:4">
      <c r="A79" s="62" t="s">
        <v>251</v>
      </c>
      <c r="B79" s="62">
        <v>0</v>
      </c>
      <c r="C79" s="62">
        <v>0</v>
      </c>
      <c r="D79" s="62">
        <v>140</v>
      </c>
    </row>
    <row r="80" spans="1:4">
      <c r="A80" s="62" t="s">
        <v>125</v>
      </c>
      <c r="B80" s="62">
        <v>0</v>
      </c>
      <c r="C80" s="62">
        <v>0</v>
      </c>
      <c r="D80" s="62">
        <v>128</v>
      </c>
    </row>
    <row r="81" spans="1:4">
      <c r="A81" s="62" t="s">
        <v>117</v>
      </c>
      <c r="B81" s="62">
        <v>0</v>
      </c>
      <c r="C81" s="62">
        <v>0</v>
      </c>
      <c r="D81" s="62">
        <v>124</v>
      </c>
    </row>
    <row r="82" spans="1:4">
      <c r="A82" s="62" t="s">
        <v>143</v>
      </c>
      <c r="B82" s="62">
        <v>0</v>
      </c>
      <c r="C82" s="62">
        <v>0</v>
      </c>
      <c r="D82" s="62">
        <v>124</v>
      </c>
    </row>
    <row r="83" spans="1:4">
      <c r="A83" s="62" t="s">
        <v>193</v>
      </c>
      <c r="B83" s="62">
        <v>0</v>
      </c>
      <c r="C83" s="62">
        <v>0</v>
      </c>
      <c r="D83" s="62">
        <v>120</v>
      </c>
    </row>
    <row r="84" spans="1:4">
      <c r="A84" s="62" t="s">
        <v>147</v>
      </c>
      <c r="B84" s="62">
        <v>0</v>
      </c>
      <c r="C84" s="62">
        <v>0</v>
      </c>
      <c r="D84" s="62">
        <v>104</v>
      </c>
    </row>
    <row r="85" spans="1:4">
      <c r="A85" s="62" t="s">
        <v>179</v>
      </c>
      <c r="B85" s="62">
        <v>0</v>
      </c>
      <c r="C85" s="62">
        <v>0</v>
      </c>
      <c r="D85" s="62">
        <v>100</v>
      </c>
    </row>
    <row r="86" spans="1:4">
      <c r="A86" s="62" t="s">
        <v>190</v>
      </c>
      <c r="B86" s="62">
        <v>0</v>
      </c>
      <c r="C86" s="62">
        <v>0</v>
      </c>
      <c r="D86" s="62">
        <v>100</v>
      </c>
    </row>
    <row r="87" spans="1:4">
      <c r="A87" s="62" t="s">
        <v>256</v>
      </c>
      <c r="B87" s="62">
        <v>0</v>
      </c>
      <c r="C87" s="62">
        <v>0</v>
      </c>
      <c r="D87" s="62">
        <v>100</v>
      </c>
    </row>
    <row r="88" spans="1:4">
      <c r="A88" s="62" t="s">
        <v>177</v>
      </c>
      <c r="B88" s="62">
        <v>0</v>
      </c>
      <c r="C88" s="62">
        <v>0</v>
      </c>
      <c r="D88" s="62">
        <v>80</v>
      </c>
    </row>
    <row r="89" spans="1:4">
      <c r="A89" s="62" t="s">
        <v>178</v>
      </c>
      <c r="B89" s="62">
        <v>0</v>
      </c>
      <c r="C89" s="62">
        <v>0</v>
      </c>
      <c r="D89" s="62">
        <v>80</v>
      </c>
    </row>
    <row r="90" spans="1:4">
      <c r="A90" s="62" t="s">
        <v>191</v>
      </c>
      <c r="B90" s="62">
        <v>0</v>
      </c>
      <c r="C90" s="62">
        <v>0</v>
      </c>
      <c r="D90" s="62">
        <v>80</v>
      </c>
    </row>
    <row r="91" spans="1:4">
      <c r="A91" s="62" t="s">
        <v>192</v>
      </c>
      <c r="B91" s="62">
        <v>0</v>
      </c>
      <c r="C91" s="62">
        <v>0</v>
      </c>
      <c r="D91" s="62">
        <v>80</v>
      </c>
    </row>
    <row r="92" spans="1:4">
      <c r="A92" s="62" t="s">
        <v>195</v>
      </c>
      <c r="B92" s="62">
        <v>0</v>
      </c>
      <c r="C92" s="62">
        <v>0</v>
      </c>
      <c r="D92" s="62">
        <v>80</v>
      </c>
    </row>
    <row r="93" spans="1:4">
      <c r="A93" s="62" t="s">
        <v>198</v>
      </c>
      <c r="B93" s="62">
        <v>0</v>
      </c>
      <c r="C93" s="62">
        <v>0</v>
      </c>
      <c r="D93" s="62">
        <v>80</v>
      </c>
    </row>
    <row r="94" spans="1:4">
      <c r="A94" s="62" t="s">
        <v>201</v>
      </c>
      <c r="B94" s="62">
        <v>0</v>
      </c>
      <c r="C94" s="62">
        <v>0</v>
      </c>
      <c r="D94" s="62">
        <v>80</v>
      </c>
    </row>
    <row r="95" spans="1:4">
      <c r="A95" s="62" t="s">
        <v>203</v>
      </c>
      <c r="B95" s="62">
        <v>0</v>
      </c>
      <c r="C95" s="62">
        <v>0</v>
      </c>
      <c r="D95" s="62">
        <v>80</v>
      </c>
    </row>
    <row r="96" spans="1:4">
      <c r="A96" s="62" t="s">
        <v>208</v>
      </c>
      <c r="B96" s="62">
        <v>0</v>
      </c>
      <c r="C96" s="62">
        <v>0</v>
      </c>
      <c r="D96" s="62">
        <v>80</v>
      </c>
    </row>
    <row r="97" spans="1:4">
      <c r="A97" s="62" t="s">
        <v>210</v>
      </c>
      <c r="B97" s="62">
        <v>0</v>
      </c>
      <c r="C97" s="62">
        <v>0</v>
      </c>
      <c r="D97" s="62">
        <v>80</v>
      </c>
    </row>
    <row r="98" spans="1:4">
      <c r="A98" s="62" t="s">
        <v>170</v>
      </c>
      <c r="B98" s="65">
        <v>1000</v>
      </c>
      <c r="C98" s="62">
        <v>500</v>
      </c>
      <c r="D98" s="62">
        <v>75</v>
      </c>
    </row>
    <row r="99" spans="1:4">
      <c r="A99" s="62" t="s">
        <v>135</v>
      </c>
      <c r="B99" s="62">
        <v>0</v>
      </c>
      <c r="C99" s="62">
        <v>0</v>
      </c>
      <c r="D99" s="62">
        <v>74</v>
      </c>
    </row>
    <row r="100" spans="1:4">
      <c r="A100" s="62" t="s">
        <v>141</v>
      </c>
      <c r="B100" s="62">
        <v>0</v>
      </c>
      <c r="C100" s="62">
        <v>0</v>
      </c>
      <c r="D100" s="62">
        <v>74</v>
      </c>
    </row>
    <row r="101" spans="1:4">
      <c r="A101" s="62" t="s">
        <v>146</v>
      </c>
      <c r="B101" s="62">
        <v>0</v>
      </c>
      <c r="C101" s="62">
        <v>0</v>
      </c>
      <c r="D101" s="62">
        <v>72</v>
      </c>
    </row>
    <row r="102" spans="1:4">
      <c r="A102" s="62" t="s">
        <v>171</v>
      </c>
      <c r="B102" s="62">
        <v>0</v>
      </c>
      <c r="C102" s="62">
        <v>0</v>
      </c>
      <c r="D102" s="62">
        <v>70</v>
      </c>
    </row>
    <row r="103" spans="1:4">
      <c r="A103" s="62" t="s">
        <v>172</v>
      </c>
      <c r="B103" s="62">
        <v>0</v>
      </c>
      <c r="C103" s="62">
        <v>0</v>
      </c>
      <c r="D103" s="62">
        <v>70</v>
      </c>
    </row>
    <row r="104" spans="1:4">
      <c r="A104" s="62" t="s">
        <v>155</v>
      </c>
      <c r="B104" s="62">
        <v>100</v>
      </c>
      <c r="C104" s="62">
        <v>0</v>
      </c>
      <c r="D104" s="62">
        <v>55</v>
      </c>
    </row>
    <row r="105" spans="1:4">
      <c r="A105" s="62" t="s">
        <v>119</v>
      </c>
      <c r="B105" s="62">
        <v>0</v>
      </c>
      <c r="C105" s="62">
        <v>0</v>
      </c>
      <c r="D105" s="62">
        <v>48</v>
      </c>
    </row>
    <row r="106" spans="1:4">
      <c r="A106" s="62" t="s">
        <v>121</v>
      </c>
      <c r="B106" s="62">
        <v>0</v>
      </c>
      <c r="C106" s="62">
        <v>0</v>
      </c>
      <c r="D106" s="62">
        <v>48</v>
      </c>
    </row>
    <row r="107" spans="1:4">
      <c r="A107" s="62" t="s">
        <v>122</v>
      </c>
      <c r="B107" s="62">
        <v>0</v>
      </c>
      <c r="C107" s="62">
        <v>0</v>
      </c>
      <c r="D107" s="62">
        <v>48</v>
      </c>
    </row>
    <row r="108" spans="1:4">
      <c r="A108" s="62" t="s">
        <v>123</v>
      </c>
      <c r="B108" s="62">
        <v>0</v>
      </c>
      <c r="C108" s="62">
        <v>0</v>
      </c>
      <c r="D108" s="62">
        <v>48</v>
      </c>
    </row>
    <row r="109" spans="1:4">
      <c r="A109" s="62" t="s">
        <v>124</v>
      </c>
      <c r="B109" s="62">
        <v>0</v>
      </c>
      <c r="C109" s="62">
        <v>0</v>
      </c>
      <c r="D109" s="62">
        <v>48</v>
      </c>
    </row>
    <row r="110" spans="1:4">
      <c r="A110" s="62" t="s">
        <v>127</v>
      </c>
      <c r="B110" s="62">
        <v>0</v>
      </c>
      <c r="C110" s="62">
        <v>0</v>
      </c>
      <c r="D110" s="62">
        <v>48</v>
      </c>
    </row>
    <row r="111" spans="1:4">
      <c r="A111" s="62" t="s">
        <v>138</v>
      </c>
      <c r="B111" s="62">
        <v>0</v>
      </c>
      <c r="C111" s="62">
        <v>0</v>
      </c>
      <c r="D111" s="62">
        <v>48</v>
      </c>
    </row>
    <row r="112" spans="1:4">
      <c r="A112" s="62" t="s">
        <v>140</v>
      </c>
      <c r="B112" s="62">
        <v>0</v>
      </c>
      <c r="C112" s="62">
        <v>0</v>
      </c>
      <c r="D112" s="62">
        <v>48</v>
      </c>
    </row>
    <row r="113" spans="1:4">
      <c r="A113" s="62" t="s">
        <v>148</v>
      </c>
      <c r="B113" s="62">
        <v>0</v>
      </c>
      <c r="C113" s="62">
        <v>0</v>
      </c>
      <c r="D113" s="62">
        <v>44</v>
      </c>
    </row>
    <row r="114" spans="1:4">
      <c r="A114" s="62" t="s">
        <v>152</v>
      </c>
      <c r="B114" s="62">
        <v>0</v>
      </c>
      <c r="C114" s="62">
        <v>0</v>
      </c>
      <c r="D114" s="62">
        <v>44</v>
      </c>
    </row>
    <row r="115" spans="1:4">
      <c r="A115" s="62" t="s">
        <v>221</v>
      </c>
      <c r="B115" s="62">
        <v>0</v>
      </c>
      <c r="C115" s="62">
        <v>0</v>
      </c>
      <c r="D115" s="62">
        <v>40</v>
      </c>
    </row>
    <row r="116" spans="1:4">
      <c r="A116" s="62" t="s">
        <v>206</v>
      </c>
      <c r="B116" s="62">
        <v>0</v>
      </c>
      <c r="C116" s="62">
        <v>0</v>
      </c>
      <c r="D116" s="62">
        <v>30</v>
      </c>
    </row>
    <row r="117" spans="1:4">
      <c r="A117" s="62" t="s">
        <v>207</v>
      </c>
      <c r="B117" s="62">
        <v>0</v>
      </c>
      <c r="C117" s="62">
        <v>0</v>
      </c>
      <c r="D117" s="62">
        <v>30</v>
      </c>
    </row>
    <row r="118" spans="1:4">
      <c r="A118" s="62" t="s">
        <v>128</v>
      </c>
      <c r="B118" s="62">
        <v>0</v>
      </c>
      <c r="C118" s="62">
        <v>0</v>
      </c>
      <c r="D118" s="62">
        <v>26</v>
      </c>
    </row>
    <row r="119" spans="1:4">
      <c r="A119" s="62" t="s">
        <v>129</v>
      </c>
      <c r="B119" s="62">
        <v>0</v>
      </c>
      <c r="C119" s="62">
        <v>0</v>
      </c>
      <c r="D119" s="62">
        <v>26</v>
      </c>
    </row>
    <row r="120" spans="1:4">
      <c r="A120" s="62" t="s">
        <v>130</v>
      </c>
      <c r="B120" s="62">
        <v>0</v>
      </c>
      <c r="C120" s="62">
        <v>0</v>
      </c>
      <c r="D120" s="62">
        <v>26</v>
      </c>
    </row>
    <row r="121" spans="1:4">
      <c r="A121" s="62" t="s">
        <v>131</v>
      </c>
      <c r="B121" s="62">
        <v>0</v>
      </c>
      <c r="C121" s="62">
        <v>0</v>
      </c>
      <c r="D121" s="62">
        <v>26</v>
      </c>
    </row>
    <row r="122" spans="1:4">
      <c r="A122" s="62" t="s">
        <v>132</v>
      </c>
      <c r="B122" s="62">
        <v>0</v>
      </c>
      <c r="C122" s="62">
        <v>0</v>
      </c>
      <c r="D122" s="62">
        <v>26</v>
      </c>
    </row>
    <row r="123" spans="1:4">
      <c r="A123" s="62" t="s">
        <v>133</v>
      </c>
      <c r="B123" s="62">
        <v>0</v>
      </c>
      <c r="C123" s="62">
        <v>0</v>
      </c>
      <c r="D123" s="62">
        <v>26</v>
      </c>
    </row>
    <row r="124" spans="1:4">
      <c r="A124" s="62" t="s">
        <v>120</v>
      </c>
      <c r="B124" s="62">
        <v>0</v>
      </c>
      <c r="C124" s="62">
        <v>0</v>
      </c>
      <c r="D124" s="62">
        <v>24</v>
      </c>
    </row>
    <row r="125" spans="1:4">
      <c r="A125" s="62" t="s">
        <v>134</v>
      </c>
      <c r="B125" s="62">
        <v>0</v>
      </c>
      <c r="C125" s="62">
        <v>0</v>
      </c>
      <c r="D125" s="62">
        <v>24</v>
      </c>
    </row>
    <row r="126" spans="1:4">
      <c r="A126" s="62" t="s">
        <v>136</v>
      </c>
      <c r="B126" s="62">
        <v>0</v>
      </c>
      <c r="C126" s="62">
        <v>0</v>
      </c>
      <c r="D126" s="62">
        <v>24</v>
      </c>
    </row>
    <row r="127" spans="1:4">
      <c r="A127" s="62" t="s">
        <v>137</v>
      </c>
      <c r="B127" s="62">
        <v>0</v>
      </c>
      <c r="C127" s="62">
        <v>0</v>
      </c>
      <c r="D127" s="62">
        <v>24</v>
      </c>
    </row>
    <row r="128" spans="1:4">
      <c r="A128" s="62" t="s">
        <v>139</v>
      </c>
      <c r="B128" s="62">
        <v>0</v>
      </c>
      <c r="C128" s="62">
        <v>0</v>
      </c>
      <c r="D128" s="62">
        <v>24</v>
      </c>
    </row>
    <row r="129" spans="1:4">
      <c r="A129" s="62" t="s">
        <v>142</v>
      </c>
      <c r="B129" s="62">
        <v>0</v>
      </c>
      <c r="C129" s="62">
        <v>0</v>
      </c>
      <c r="D129" s="62">
        <v>24</v>
      </c>
    </row>
    <row r="130" spans="1:4">
      <c r="A130" s="62" t="s">
        <v>144</v>
      </c>
      <c r="B130" s="62">
        <v>0</v>
      </c>
      <c r="C130" s="62">
        <v>0</v>
      </c>
      <c r="D130" s="62">
        <v>24</v>
      </c>
    </row>
    <row r="131" spans="1:4">
      <c r="A131" s="62" t="s">
        <v>145</v>
      </c>
      <c r="B131" s="62">
        <v>0</v>
      </c>
      <c r="C131" s="62">
        <v>0</v>
      </c>
      <c r="D131" s="62">
        <v>24</v>
      </c>
    </row>
    <row r="132" spans="1:4">
      <c r="A132" s="62" t="s">
        <v>149</v>
      </c>
      <c r="B132" s="62">
        <v>0</v>
      </c>
      <c r="C132" s="62">
        <v>0</v>
      </c>
      <c r="D132" s="62">
        <v>24</v>
      </c>
    </row>
    <row r="133" spans="1:4">
      <c r="A133" s="62" t="s">
        <v>150</v>
      </c>
      <c r="B133" s="62">
        <v>0</v>
      </c>
      <c r="C133" s="62">
        <v>0</v>
      </c>
      <c r="D133" s="62">
        <v>24</v>
      </c>
    </row>
    <row r="134" spans="1:4">
      <c r="A134" s="62" t="s">
        <v>151</v>
      </c>
      <c r="B134" s="62">
        <v>0</v>
      </c>
      <c r="C134" s="62">
        <v>0</v>
      </c>
      <c r="D134" s="62">
        <v>24</v>
      </c>
    </row>
    <row r="135" spans="1:4">
      <c r="A135" s="62" t="s">
        <v>153</v>
      </c>
      <c r="B135" s="62">
        <v>0</v>
      </c>
      <c r="C135" s="62">
        <v>0</v>
      </c>
      <c r="D135" s="62">
        <v>24</v>
      </c>
    </row>
    <row r="136" spans="1:4">
      <c r="A136" s="62" t="s">
        <v>157</v>
      </c>
      <c r="B136" s="62">
        <v>0</v>
      </c>
      <c r="C136" s="62">
        <v>10</v>
      </c>
      <c r="D136" s="62">
        <v>20</v>
      </c>
    </row>
    <row r="137" spans="1:4">
      <c r="A137" s="62" t="s">
        <v>158</v>
      </c>
      <c r="B137" s="62">
        <v>0</v>
      </c>
      <c r="C137" s="62">
        <v>10</v>
      </c>
      <c r="D137" s="62">
        <v>20</v>
      </c>
    </row>
    <row r="138" spans="1:4">
      <c r="A138" s="62" t="s">
        <v>115</v>
      </c>
      <c r="B138" s="62">
        <v>0</v>
      </c>
      <c r="C138" s="62">
        <v>0</v>
      </c>
      <c r="D138" s="62">
        <v>20</v>
      </c>
    </row>
    <row r="139" spans="1:4">
      <c r="A139" s="62" t="s">
        <v>175</v>
      </c>
      <c r="B139" s="62">
        <v>0</v>
      </c>
      <c r="C139" s="62">
        <v>0</v>
      </c>
      <c r="D139" s="62">
        <v>20</v>
      </c>
    </row>
    <row r="140" spans="1:4">
      <c r="A140" s="62" t="s">
        <v>176</v>
      </c>
      <c r="B140" s="62">
        <v>0</v>
      </c>
      <c r="C140" s="62">
        <v>0</v>
      </c>
      <c r="D140" s="62">
        <v>20</v>
      </c>
    </row>
    <row r="141" spans="1:4">
      <c r="A141" s="62" t="s">
        <v>211</v>
      </c>
      <c r="B141" s="62">
        <v>0</v>
      </c>
      <c r="C141" s="62">
        <v>0</v>
      </c>
      <c r="D141" s="62">
        <v>20</v>
      </c>
    </row>
    <row r="142" spans="1:4">
      <c r="A142" s="62" t="s">
        <v>216</v>
      </c>
      <c r="B142" s="62">
        <v>0</v>
      </c>
      <c r="C142" s="62">
        <v>0</v>
      </c>
      <c r="D142" s="62">
        <v>20</v>
      </c>
    </row>
    <row r="143" spans="1:4">
      <c r="A143" s="62" t="s">
        <v>241</v>
      </c>
      <c r="B143" s="62">
        <v>0</v>
      </c>
      <c r="C143" s="62">
        <v>0</v>
      </c>
      <c r="D143" s="62">
        <v>5</v>
      </c>
    </row>
    <row r="144" spans="1:4">
      <c r="A144" s="62" t="s">
        <v>242</v>
      </c>
      <c r="B144" s="62">
        <v>0</v>
      </c>
      <c r="C144" s="62">
        <v>0</v>
      </c>
      <c r="D144" s="62">
        <v>5</v>
      </c>
    </row>
    <row r="145" spans="1:4">
      <c r="A145" s="62" t="s">
        <v>243</v>
      </c>
      <c r="B145" s="62">
        <v>0</v>
      </c>
      <c r="C145" s="62">
        <v>0</v>
      </c>
      <c r="D145" s="62">
        <v>5</v>
      </c>
    </row>
    <row r="146" spans="1:4">
      <c r="A146" s="62" t="s">
        <v>244</v>
      </c>
      <c r="B146" s="62">
        <v>0</v>
      </c>
      <c r="C146" s="62">
        <v>0</v>
      </c>
      <c r="D146" s="62">
        <v>5</v>
      </c>
    </row>
    <row r="147" spans="1:4">
      <c r="A147" s="62" t="s">
        <v>245</v>
      </c>
      <c r="B147" s="62">
        <v>0</v>
      </c>
      <c r="C147" s="62">
        <v>0</v>
      </c>
      <c r="D147" s="62">
        <v>5</v>
      </c>
    </row>
    <row r="148" spans="1:4">
      <c r="A148" s="62" t="s">
        <v>246</v>
      </c>
      <c r="B148" s="62">
        <v>0</v>
      </c>
      <c r="C148" s="62">
        <v>0</v>
      </c>
      <c r="D148" s="62">
        <v>5</v>
      </c>
    </row>
    <row r="149" spans="1:4">
      <c r="A149" s="62" t="s">
        <v>247</v>
      </c>
      <c r="B149" s="62">
        <v>0</v>
      </c>
      <c r="C149" s="62">
        <v>0</v>
      </c>
      <c r="D149" s="62">
        <v>5</v>
      </c>
    </row>
    <row r="150" spans="1:4">
      <c r="A150" s="62" t="s">
        <v>248</v>
      </c>
      <c r="B150" s="62">
        <v>0</v>
      </c>
      <c r="C150" s="62">
        <v>0</v>
      </c>
      <c r="D150" s="62">
        <v>5</v>
      </c>
    </row>
    <row r="151" spans="1:4">
      <c r="A151" s="62" t="s">
        <v>168</v>
      </c>
      <c r="B151" s="62">
        <v>600</v>
      </c>
      <c r="C151" s="62">
        <v>500</v>
      </c>
      <c r="D151" s="62">
        <v>0</v>
      </c>
    </row>
    <row r="152" spans="1:4">
      <c r="A152" s="62" t="s">
        <v>205</v>
      </c>
      <c r="B152" s="62">
        <v>0</v>
      </c>
      <c r="C152" s="62">
        <v>200</v>
      </c>
      <c r="D152" s="62">
        <v>0</v>
      </c>
    </row>
    <row r="153" spans="1:4">
      <c r="A153" s="62" t="s">
        <v>310</v>
      </c>
      <c r="B153" s="62">
        <v>0</v>
      </c>
      <c r="C153" s="62">
        <v>10</v>
      </c>
      <c r="D153" s="62">
        <v>0</v>
      </c>
    </row>
    <row r="154" spans="1:4">
      <c r="A154" s="62" t="s">
        <v>311</v>
      </c>
      <c r="B154" s="62">
        <v>0</v>
      </c>
      <c r="C154" s="62">
        <v>0</v>
      </c>
      <c r="D154" s="62">
        <v>0</v>
      </c>
    </row>
    <row r="155" spans="1:4">
      <c r="A155" s="62" t="s">
        <v>312</v>
      </c>
      <c r="B155" s="62">
        <v>0</v>
      </c>
      <c r="C155" s="62">
        <v>0</v>
      </c>
      <c r="D155" s="62">
        <v>0</v>
      </c>
    </row>
    <row r="156" spans="1:4">
      <c r="A156" s="62" t="s">
        <v>313</v>
      </c>
      <c r="B156" s="62">
        <v>0</v>
      </c>
      <c r="C156" s="62">
        <v>0</v>
      </c>
      <c r="D156" s="62">
        <v>0</v>
      </c>
    </row>
    <row r="157" spans="1:4">
      <c r="A157" s="62" t="s">
        <v>314</v>
      </c>
      <c r="B157" s="62">
        <v>0</v>
      </c>
      <c r="C157" s="62">
        <v>0</v>
      </c>
      <c r="D157" s="62">
        <v>0</v>
      </c>
    </row>
    <row r="158" spans="1:4">
      <c r="A158" s="62" t="s">
        <v>315</v>
      </c>
      <c r="B158" s="62">
        <v>0</v>
      </c>
      <c r="C158" s="62">
        <v>0</v>
      </c>
      <c r="D158" s="62">
        <v>0</v>
      </c>
    </row>
    <row r="159" spans="1:4">
      <c r="A159" s="62" t="s">
        <v>316</v>
      </c>
      <c r="B159" s="62">
        <v>0</v>
      </c>
      <c r="C159" s="62">
        <v>0</v>
      </c>
      <c r="D159" s="62">
        <v>0</v>
      </c>
    </row>
    <row r="160" spans="1:4">
      <c r="A160" s="62" t="s">
        <v>317</v>
      </c>
      <c r="B160" s="62">
        <v>0</v>
      </c>
      <c r="C160" s="62">
        <v>0</v>
      </c>
      <c r="D160" s="62">
        <v>0</v>
      </c>
    </row>
    <row r="161" spans="1:4">
      <c r="A161" s="62" t="s">
        <v>318</v>
      </c>
      <c r="B161" s="62">
        <v>0</v>
      </c>
      <c r="C161" s="62">
        <v>0</v>
      </c>
      <c r="D161" s="62">
        <v>0</v>
      </c>
    </row>
    <row r="162" spans="1:4">
      <c r="A162" s="62" t="s">
        <v>319</v>
      </c>
      <c r="B162" s="62">
        <v>0</v>
      </c>
      <c r="C162" s="62">
        <v>0</v>
      </c>
      <c r="D162" s="62">
        <v>0</v>
      </c>
    </row>
    <row r="163" spans="1:4">
      <c r="A163" s="62" t="s">
        <v>320</v>
      </c>
      <c r="B163" s="62">
        <v>0</v>
      </c>
      <c r="C163" s="62">
        <v>0</v>
      </c>
      <c r="D163" s="62">
        <v>0</v>
      </c>
    </row>
    <row r="164" spans="1:4">
      <c r="A164" s="62" t="s">
        <v>321</v>
      </c>
      <c r="B164" s="62">
        <v>0</v>
      </c>
      <c r="C164" s="62">
        <v>0</v>
      </c>
      <c r="D164" s="62">
        <v>0</v>
      </c>
    </row>
    <row r="165" spans="1:4">
      <c r="A165" s="62" t="s">
        <v>322</v>
      </c>
      <c r="B165" s="62">
        <v>0</v>
      </c>
      <c r="C165" s="62">
        <v>0</v>
      </c>
      <c r="D165" s="62">
        <v>0</v>
      </c>
    </row>
    <row r="166" spans="1:4">
      <c r="A166" s="62" t="s">
        <v>323</v>
      </c>
      <c r="B166" s="62">
        <v>0</v>
      </c>
      <c r="C166" s="62">
        <v>0</v>
      </c>
      <c r="D166" s="62">
        <v>0</v>
      </c>
    </row>
    <row r="167" spans="1:4">
      <c r="A167" s="62" t="s">
        <v>324</v>
      </c>
      <c r="B167" s="62">
        <v>0</v>
      </c>
      <c r="C167" s="62">
        <v>0</v>
      </c>
      <c r="D167" s="62">
        <v>0</v>
      </c>
    </row>
    <row r="168" spans="1:4">
      <c r="A168" s="62" t="s">
        <v>325</v>
      </c>
      <c r="B168" s="62">
        <v>0</v>
      </c>
      <c r="C168" s="62">
        <v>0</v>
      </c>
      <c r="D168" s="62">
        <v>0</v>
      </c>
    </row>
    <row r="169" spans="1:4">
      <c r="A169" s="62" t="s">
        <v>326</v>
      </c>
      <c r="B169" s="62">
        <v>0</v>
      </c>
      <c r="C169" s="62">
        <v>0</v>
      </c>
      <c r="D169" s="62">
        <v>0</v>
      </c>
    </row>
    <row r="170" spans="1:4">
      <c r="A170" s="62" t="s">
        <v>327</v>
      </c>
      <c r="B170" s="62">
        <v>0</v>
      </c>
      <c r="C170" s="62">
        <v>0</v>
      </c>
      <c r="D170" s="62">
        <v>0</v>
      </c>
    </row>
    <row r="171" spans="1:4">
      <c r="A171" s="62" t="s">
        <v>328</v>
      </c>
      <c r="B171" s="62">
        <v>0</v>
      </c>
      <c r="C171" s="62">
        <v>0</v>
      </c>
      <c r="D171" s="62">
        <v>0</v>
      </c>
    </row>
    <row r="172" spans="1:4">
      <c r="A172" s="62" t="s">
        <v>329</v>
      </c>
      <c r="B172" s="62">
        <v>0</v>
      </c>
      <c r="C172" s="62">
        <v>0</v>
      </c>
      <c r="D172" s="62">
        <v>0</v>
      </c>
    </row>
    <row r="173" spans="1:4">
      <c r="A173" s="62" t="s">
        <v>330</v>
      </c>
      <c r="B173" s="62">
        <v>0</v>
      </c>
      <c r="C173" s="62">
        <v>0</v>
      </c>
      <c r="D173" s="62">
        <v>0</v>
      </c>
    </row>
    <row r="174" spans="1:4">
      <c r="A174" s="62" t="s">
        <v>331</v>
      </c>
      <c r="B174" s="62">
        <v>0</v>
      </c>
      <c r="C174" s="62">
        <v>0</v>
      </c>
      <c r="D174" s="62">
        <v>0</v>
      </c>
    </row>
    <row r="175" spans="1:4">
      <c r="A175" s="62" t="s">
        <v>332</v>
      </c>
      <c r="B175" s="62">
        <v>0</v>
      </c>
      <c r="C175" s="62">
        <v>0</v>
      </c>
      <c r="D175" s="62">
        <v>0</v>
      </c>
    </row>
    <row r="176" spans="1:4">
      <c r="A176" s="62" t="s">
        <v>333</v>
      </c>
      <c r="B176" s="62">
        <v>0</v>
      </c>
      <c r="C176" s="62">
        <v>0</v>
      </c>
      <c r="D176" s="62">
        <v>0</v>
      </c>
    </row>
    <row r="177" spans="1:4">
      <c r="A177" s="62" t="s">
        <v>334</v>
      </c>
      <c r="B177" s="62">
        <v>0</v>
      </c>
      <c r="C177" s="62">
        <v>0</v>
      </c>
      <c r="D177" s="62">
        <v>0</v>
      </c>
    </row>
    <row r="178" spans="1:4">
      <c r="A178" s="62" t="s">
        <v>335</v>
      </c>
      <c r="B178" s="62">
        <v>0</v>
      </c>
      <c r="C178" s="62">
        <v>0</v>
      </c>
      <c r="D178" s="62">
        <v>0</v>
      </c>
    </row>
    <row r="179" spans="1:4">
      <c r="A179" s="62" t="s">
        <v>336</v>
      </c>
      <c r="B179" s="62">
        <v>0</v>
      </c>
      <c r="C179" s="62">
        <v>0</v>
      </c>
      <c r="D179" s="62">
        <v>0</v>
      </c>
    </row>
    <row r="180" spans="1:4">
      <c r="A180" s="62" t="s">
        <v>337</v>
      </c>
      <c r="B180" s="62">
        <v>0</v>
      </c>
      <c r="C180" s="62">
        <v>0</v>
      </c>
      <c r="D180" s="62">
        <v>0</v>
      </c>
    </row>
    <row r="181" spans="1:4">
      <c r="A181" s="62" t="s">
        <v>338</v>
      </c>
      <c r="B181" s="62">
        <v>0</v>
      </c>
      <c r="C181" s="62">
        <v>0</v>
      </c>
      <c r="D181" s="62">
        <v>0</v>
      </c>
    </row>
    <row r="182" spans="1:4">
      <c r="A182" s="62" t="s">
        <v>339</v>
      </c>
      <c r="B182" s="62">
        <v>0</v>
      </c>
      <c r="C182" s="62">
        <v>0</v>
      </c>
      <c r="D182" s="62">
        <v>0</v>
      </c>
    </row>
    <row r="183" spans="1:4">
      <c r="A183" s="62" t="s">
        <v>340</v>
      </c>
      <c r="B183" s="62">
        <v>0</v>
      </c>
      <c r="C183" s="62">
        <v>0</v>
      </c>
      <c r="D183" s="62">
        <v>0</v>
      </c>
    </row>
    <row r="184" spans="1:4">
      <c r="A184" s="62" t="s">
        <v>341</v>
      </c>
      <c r="B184" s="62">
        <v>0</v>
      </c>
      <c r="C184" s="62">
        <v>0</v>
      </c>
      <c r="D184" s="62">
        <v>0</v>
      </c>
    </row>
    <row r="185" spans="1:4">
      <c r="A185" s="62" t="s">
        <v>342</v>
      </c>
      <c r="B185" s="62">
        <v>0</v>
      </c>
      <c r="C185" s="62">
        <v>0</v>
      </c>
      <c r="D185" s="62">
        <v>0</v>
      </c>
    </row>
    <row r="186" spans="1:4">
      <c r="A186" s="62" t="s">
        <v>343</v>
      </c>
      <c r="B186" s="62">
        <v>0</v>
      </c>
      <c r="C186" s="62">
        <v>0</v>
      </c>
      <c r="D186" s="62">
        <v>0</v>
      </c>
    </row>
    <row r="187" spans="1:4">
      <c r="A187" s="62" t="s">
        <v>344</v>
      </c>
      <c r="B187" s="62">
        <v>0</v>
      </c>
      <c r="C187" s="62">
        <v>0</v>
      </c>
      <c r="D187" s="62">
        <v>0</v>
      </c>
    </row>
    <row r="188" spans="1:4">
      <c r="A188" s="62" t="s">
        <v>345</v>
      </c>
      <c r="B188" s="62">
        <v>0</v>
      </c>
      <c r="C188" s="62">
        <v>0</v>
      </c>
      <c r="D188" s="62">
        <v>0</v>
      </c>
    </row>
    <row r="189" spans="1:4">
      <c r="A189" s="62" t="s">
        <v>346</v>
      </c>
      <c r="B189" s="62">
        <v>0</v>
      </c>
      <c r="C189" s="62">
        <v>0</v>
      </c>
      <c r="D189" s="62">
        <v>0</v>
      </c>
    </row>
    <row r="190" spans="1:4">
      <c r="A190" s="62" t="s">
        <v>347</v>
      </c>
      <c r="B190" s="62">
        <v>0</v>
      </c>
      <c r="C190" s="62">
        <v>0</v>
      </c>
      <c r="D190" s="62">
        <v>0</v>
      </c>
    </row>
    <row r="191" spans="1:4">
      <c r="A191" s="62" t="s">
        <v>348</v>
      </c>
      <c r="B191" s="62">
        <v>0</v>
      </c>
      <c r="C191" s="62">
        <v>0</v>
      </c>
      <c r="D191" s="62">
        <v>0</v>
      </c>
    </row>
    <row r="192" spans="1:4">
      <c r="A192" s="62" t="s">
        <v>349</v>
      </c>
      <c r="B192" s="62">
        <v>0</v>
      </c>
      <c r="C192" s="62">
        <v>0</v>
      </c>
      <c r="D192" s="62">
        <v>0</v>
      </c>
    </row>
    <row r="193" spans="1:4">
      <c r="A193" s="62" t="s">
        <v>350</v>
      </c>
      <c r="B193" s="62">
        <v>0</v>
      </c>
      <c r="C193" s="62">
        <v>0</v>
      </c>
      <c r="D193" s="62">
        <v>0</v>
      </c>
    </row>
    <row r="194" spans="1:4">
      <c r="A194" s="62" t="s">
        <v>351</v>
      </c>
      <c r="B194" s="62">
        <v>0</v>
      </c>
      <c r="C194" s="62">
        <v>0</v>
      </c>
      <c r="D194" s="62">
        <v>0</v>
      </c>
    </row>
    <row r="195" spans="1:4">
      <c r="A195" s="62" t="s">
        <v>352</v>
      </c>
      <c r="B195" s="62">
        <v>0</v>
      </c>
      <c r="C195" s="62">
        <v>0</v>
      </c>
      <c r="D195" s="62">
        <v>0</v>
      </c>
    </row>
    <row r="196" spans="1:4">
      <c r="A196" s="62" t="s">
        <v>353</v>
      </c>
      <c r="B196" s="62">
        <v>0</v>
      </c>
      <c r="C196" s="62">
        <v>0</v>
      </c>
      <c r="D196" s="62">
        <v>0</v>
      </c>
    </row>
    <row r="197" spans="1:4">
      <c r="A197" s="62" t="s">
        <v>354</v>
      </c>
      <c r="B197" s="62">
        <v>0</v>
      </c>
      <c r="C197" s="62">
        <v>0</v>
      </c>
      <c r="D197" s="62">
        <v>0</v>
      </c>
    </row>
    <row r="198" spans="1:4">
      <c r="A198" s="62" t="s">
        <v>355</v>
      </c>
      <c r="B198" s="62">
        <v>0</v>
      </c>
      <c r="C198" s="62">
        <v>0</v>
      </c>
      <c r="D198" s="62">
        <v>0</v>
      </c>
    </row>
    <row r="199" spans="1:4">
      <c r="A199" s="62" t="s">
        <v>356</v>
      </c>
      <c r="B199" s="62">
        <v>0</v>
      </c>
      <c r="C199" s="62">
        <v>0</v>
      </c>
      <c r="D199" s="62">
        <v>0</v>
      </c>
    </row>
    <row r="200" spans="1:4">
      <c r="A200" s="62" t="s">
        <v>357</v>
      </c>
      <c r="B200" s="62">
        <v>0</v>
      </c>
      <c r="C200" s="62">
        <v>0</v>
      </c>
      <c r="D200" s="62">
        <v>0</v>
      </c>
    </row>
    <row r="201" spans="1:4">
      <c r="A201" s="62" t="s">
        <v>358</v>
      </c>
      <c r="B201" s="62">
        <v>0</v>
      </c>
      <c r="C201" s="62">
        <v>0</v>
      </c>
      <c r="D201" s="62">
        <v>0</v>
      </c>
    </row>
    <row r="202" spans="1:4">
      <c r="A202" s="62" t="s">
        <v>359</v>
      </c>
      <c r="B202" s="62">
        <v>0</v>
      </c>
      <c r="C202" s="62">
        <v>0</v>
      </c>
      <c r="D202" s="62">
        <v>0</v>
      </c>
    </row>
    <row r="203" spans="1:4">
      <c r="A203" s="62" t="s">
        <v>360</v>
      </c>
      <c r="B203" s="62">
        <v>0</v>
      </c>
      <c r="C203" s="62">
        <v>0</v>
      </c>
      <c r="D203" s="62">
        <v>0</v>
      </c>
    </row>
    <row r="204" spans="1:4">
      <c r="A204" s="62" t="s">
        <v>361</v>
      </c>
      <c r="B204" s="62">
        <v>0</v>
      </c>
      <c r="C204" s="62">
        <v>0</v>
      </c>
      <c r="D204" s="62">
        <v>0</v>
      </c>
    </row>
    <row r="205" spans="1:4">
      <c r="A205" s="62" t="s">
        <v>362</v>
      </c>
      <c r="B205" s="62">
        <v>0</v>
      </c>
      <c r="C205" s="62">
        <v>0</v>
      </c>
      <c r="D205" s="62">
        <v>0</v>
      </c>
    </row>
    <row r="206" spans="1:4">
      <c r="A206" s="62" t="s">
        <v>363</v>
      </c>
      <c r="B206" s="62">
        <v>0</v>
      </c>
      <c r="C206" s="62">
        <v>0</v>
      </c>
      <c r="D206" s="62">
        <v>0</v>
      </c>
    </row>
    <row r="207" spans="1:4">
      <c r="A207" s="62" t="s">
        <v>364</v>
      </c>
      <c r="B207" s="62">
        <v>0</v>
      </c>
      <c r="C207" s="62">
        <v>0</v>
      </c>
      <c r="D207" s="62">
        <v>0</v>
      </c>
    </row>
    <row r="208" spans="1:4">
      <c r="A208" s="62" t="s">
        <v>365</v>
      </c>
      <c r="B208" s="62">
        <v>0</v>
      </c>
      <c r="C208" s="62">
        <v>0</v>
      </c>
      <c r="D208" s="62">
        <v>0</v>
      </c>
    </row>
    <row r="209" spans="1:4">
      <c r="A209" s="62" t="s">
        <v>366</v>
      </c>
      <c r="B209" s="62">
        <v>0</v>
      </c>
      <c r="C209" s="62">
        <v>0</v>
      </c>
      <c r="D209" s="62">
        <v>0</v>
      </c>
    </row>
    <row r="210" spans="1:4">
      <c r="A210" s="62" t="s">
        <v>367</v>
      </c>
      <c r="B210" s="62">
        <v>0</v>
      </c>
      <c r="C210" s="62">
        <v>0</v>
      </c>
      <c r="D210" s="62">
        <v>0</v>
      </c>
    </row>
    <row r="211" spans="1:4">
      <c r="A211" s="62" t="s">
        <v>368</v>
      </c>
      <c r="B211" s="62">
        <v>0</v>
      </c>
      <c r="C211" s="62">
        <v>0</v>
      </c>
      <c r="D211" s="62">
        <v>0</v>
      </c>
    </row>
    <row r="212" spans="1:4">
      <c r="A212" s="62" t="s">
        <v>369</v>
      </c>
      <c r="B212" s="62">
        <v>0</v>
      </c>
      <c r="C212" s="62">
        <v>0</v>
      </c>
      <c r="D212" s="62">
        <v>0</v>
      </c>
    </row>
    <row r="213" spans="1:4">
      <c r="A213" s="62" t="s">
        <v>370</v>
      </c>
      <c r="B213" s="62">
        <v>0</v>
      </c>
      <c r="C213" s="62">
        <v>0</v>
      </c>
      <c r="D213" s="62">
        <v>0</v>
      </c>
    </row>
    <row r="214" spans="1:4">
      <c r="A214" s="62" t="s">
        <v>371</v>
      </c>
      <c r="B214" s="62">
        <v>0</v>
      </c>
      <c r="C214" s="62">
        <v>0</v>
      </c>
      <c r="D214" s="62">
        <v>0</v>
      </c>
    </row>
    <row r="215" spans="1:4">
      <c r="A215" s="62" t="s">
        <v>372</v>
      </c>
      <c r="B215" s="62">
        <v>0</v>
      </c>
      <c r="C215" s="62">
        <v>0</v>
      </c>
      <c r="D215" s="62">
        <v>0</v>
      </c>
    </row>
    <row r="216" spans="1:4">
      <c r="A216" s="62" t="s">
        <v>373</v>
      </c>
      <c r="B216" s="62">
        <v>0</v>
      </c>
      <c r="C216" s="62">
        <v>0</v>
      </c>
      <c r="D216" s="62">
        <v>0</v>
      </c>
    </row>
    <row r="217" spans="1:4">
      <c r="A217" s="62" t="s">
        <v>374</v>
      </c>
      <c r="B217" s="62">
        <v>0</v>
      </c>
      <c r="C217" s="62">
        <v>0</v>
      </c>
      <c r="D217" s="62">
        <v>0</v>
      </c>
    </row>
    <row r="218" spans="1:4">
      <c r="A218" s="62" t="s">
        <v>375</v>
      </c>
      <c r="B218" s="62">
        <v>0</v>
      </c>
      <c r="C218" s="62">
        <v>0</v>
      </c>
      <c r="D218" s="62">
        <v>0</v>
      </c>
    </row>
    <row r="219" spans="1:4">
      <c r="A219" s="62" t="s">
        <v>376</v>
      </c>
      <c r="B219" s="62">
        <v>0</v>
      </c>
      <c r="C219" s="62">
        <v>0</v>
      </c>
      <c r="D219" s="62">
        <v>0</v>
      </c>
    </row>
    <row r="220" spans="1:4">
      <c r="A220" s="62" t="s">
        <v>377</v>
      </c>
      <c r="B220" s="62">
        <v>0</v>
      </c>
      <c r="C220" s="62">
        <v>0</v>
      </c>
      <c r="D220" s="62">
        <v>0</v>
      </c>
    </row>
    <row r="221" spans="1:4">
      <c r="A221" s="62" t="s">
        <v>378</v>
      </c>
      <c r="B221" s="62">
        <v>0</v>
      </c>
      <c r="C221" s="62">
        <v>0</v>
      </c>
      <c r="D221" s="62">
        <v>0</v>
      </c>
    </row>
    <row r="222" spans="1:4">
      <c r="A222" s="62" t="s">
        <v>379</v>
      </c>
      <c r="B222" s="62">
        <v>0</v>
      </c>
      <c r="C222" s="62">
        <v>0</v>
      </c>
      <c r="D222" s="62">
        <v>0</v>
      </c>
    </row>
    <row r="223" spans="1:4">
      <c r="A223" s="62" t="s">
        <v>380</v>
      </c>
      <c r="B223" s="62">
        <v>0</v>
      </c>
      <c r="C223" s="62">
        <v>0</v>
      </c>
      <c r="D223" s="62">
        <v>0</v>
      </c>
    </row>
    <row r="224" spans="1:4">
      <c r="A224" s="62" t="s">
        <v>112</v>
      </c>
      <c r="B224" s="62">
        <v>30</v>
      </c>
      <c r="C224" s="62">
        <v>0</v>
      </c>
      <c r="D224" s="62">
        <v>0</v>
      </c>
    </row>
    <row r="225" spans="1:4">
      <c r="A225" s="62" t="s">
        <v>381</v>
      </c>
      <c r="B225" s="62">
        <v>0</v>
      </c>
      <c r="C225" s="62">
        <v>0</v>
      </c>
      <c r="D225" s="62">
        <v>0</v>
      </c>
    </row>
    <row r="226" spans="1:4">
      <c r="A226" s="62" t="s">
        <v>113</v>
      </c>
      <c r="B226" s="62">
        <v>130</v>
      </c>
      <c r="C226" s="62">
        <v>0</v>
      </c>
      <c r="D226" s="62">
        <v>0</v>
      </c>
    </row>
    <row r="227" spans="1:4">
      <c r="A227" s="62" t="s">
        <v>382</v>
      </c>
      <c r="B227" s="62">
        <v>0</v>
      </c>
      <c r="C227" s="62">
        <v>0</v>
      </c>
      <c r="D227" s="62">
        <v>0</v>
      </c>
    </row>
    <row r="228" spans="1:4">
      <c r="A228" s="62" t="s">
        <v>383</v>
      </c>
      <c r="B228" s="62">
        <v>0</v>
      </c>
      <c r="C228" s="62">
        <v>0</v>
      </c>
      <c r="D228" s="62">
        <v>0</v>
      </c>
    </row>
    <row r="229" spans="1:4">
      <c r="A229" s="62" t="s">
        <v>384</v>
      </c>
      <c r="B229" s="62">
        <v>0</v>
      </c>
      <c r="C229" s="62">
        <v>0</v>
      </c>
      <c r="D229" s="62">
        <v>0</v>
      </c>
    </row>
    <row r="230" spans="1:4">
      <c r="A230" s="62" t="s">
        <v>385</v>
      </c>
      <c r="B230" s="62">
        <v>0</v>
      </c>
      <c r="C230" s="62">
        <v>0</v>
      </c>
      <c r="D230" s="62">
        <v>0</v>
      </c>
    </row>
    <row r="231" spans="1:4">
      <c r="A231" s="62" t="s">
        <v>386</v>
      </c>
      <c r="B231" s="62">
        <v>0</v>
      </c>
      <c r="C231" s="62">
        <v>0</v>
      </c>
      <c r="D231" s="62">
        <v>0</v>
      </c>
    </row>
    <row r="232" spans="1:4">
      <c r="A232" s="62" t="s">
        <v>387</v>
      </c>
      <c r="B232" s="62">
        <v>0</v>
      </c>
      <c r="C232" s="62">
        <v>0</v>
      </c>
      <c r="D232" s="62">
        <v>0</v>
      </c>
    </row>
    <row r="233" spans="1:4">
      <c r="A233" s="62" t="s">
        <v>388</v>
      </c>
      <c r="B233" s="62">
        <v>0</v>
      </c>
      <c r="C233" s="62">
        <v>0</v>
      </c>
      <c r="D233" s="62">
        <v>0</v>
      </c>
    </row>
    <row r="234" spans="1:4">
      <c r="A234" s="62" t="s">
        <v>389</v>
      </c>
      <c r="B234" s="62">
        <v>0</v>
      </c>
      <c r="C234" s="62">
        <v>0</v>
      </c>
      <c r="D234" s="62">
        <v>0</v>
      </c>
    </row>
    <row r="235" spans="1:4">
      <c r="A235" s="62" t="s">
        <v>390</v>
      </c>
      <c r="B235" s="62">
        <v>0</v>
      </c>
      <c r="C235" s="62">
        <v>0</v>
      </c>
      <c r="D235" s="62">
        <v>0</v>
      </c>
    </row>
    <row r="236" spans="1:4">
      <c r="A236" s="62" t="s">
        <v>391</v>
      </c>
      <c r="B236" s="62">
        <v>0</v>
      </c>
      <c r="C236" s="62">
        <v>0</v>
      </c>
      <c r="D236" s="62">
        <v>0</v>
      </c>
    </row>
    <row r="237" spans="1:4">
      <c r="A237" s="62" t="s">
        <v>392</v>
      </c>
      <c r="B237" s="62">
        <v>0</v>
      </c>
      <c r="C237" s="62">
        <v>0</v>
      </c>
      <c r="D237" s="62">
        <v>0</v>
      </c>
    </row>
    <row r="238" spans="1:4">
      <c r="A238" s="62" t="s">
        <v>393</v>
      </c>
      <c r="B238" s="62">
        <v>0</v>
      </c>
      <c r="C238" s="62">
        <v>0</v>
      </c>
      <c r="D238" s="62">
        <v>0</v>
      </c>
    </row>
    <row r="239" spans="1:4">
      <c r="A239" s="62" t="s">
        <v>394</v>
      </c>
      <c r="B239" s="62">
        <v>0</v>
      </c>
      <c r="C239" s="62">
        <v>0</v>
      </c>
      <c r="D239" s="62">
        <v>0</v>
      </c>
    </row>
    <row r="240" spans="1:4">
      <c r="A240" s="62" t="s">
        <v>395</v>
      </c>
      <c r="B240" s="62">
        <v>0</v>
      </c>
      <c r="C240" s="62">
        <v>0</v>
      </c>
      <c r="D240" s="62">
        <v>0</v>
      </c>
    </row>
    <row r="241" spans="1:4">
      <c r="A241" s="62" t="s">
        <v>396</v>
      </c>
      <c r="B241" s="62">
        <v>0</v>
      </c>
      <c r="C241" s="62">
        <v>0</v>
      </c>
      <c r="D241" s="62">
        <v>0</v>
      </c>
    </row>
    <row r="242" spans="1:4">
      <c r="A242" s="62" t="s">
        <v>397</v>
      </c>
      <c r="B242" s="62">
        <v>0</v>
      </c>
      <c r="C242" s="62">
        <v>0</v>
      </c>
      <c r="D242" s="62">
        <v>0</v>
      </c>
    </row>
    <row r="243" spans="1:4">
      <c r="A243" s="62" t="s">
        <v>398</v>
      </c>
      <c r="B243" s="62">
        <v>0</v>
      </c>
      <c r="C243" s="62">
        <v>0</v>
      </c>
      <c r="D243" s="62">
        <v>0</v>
      </c>
    </row>
    <row r="244" spans="1:4">
      <c r="A244" s="62" t="s">
        <v>399</v>
      </c>
      <c r="B244" s="62">
        <v>0</v>
      </c>
      <c r="C244" s="62">
        <v>0</v>
      </c>
      <c r="D244" s="62">
        <v>0</v>
      </c>
    </row>
    <row r="245" spans="1:4">
      <c r="A245" s="62" t="s">
        <v>400</v>
      </c>
      <c r="B245" s="62">
        <v>0</v>
      </c>
      <c r="C245" s="62">
        <v>0</v>
      </c>
      <c r="D245" s="62">
        <v>0</v>
      </c>
    </row>
    <row r="246" spans="1:4">
      <c r="A246" s="62" t="s">
        <v>401</v>
      </c>
      <c r="B246" s="62">
        <v>0</v>
      </c>
      <c r="C246" s="62">
        <v>0</v>
      </c>
      <c r="D246" s="62">
        <v>0</v>
      </c>
    </row>
    <row r="247" spans="1:4">
      <c r="A247" s="62" t="s">
        <v>402</v>
      </c>
      <c r="B247" s="62">
        <v>0</v>
      </c>
      <c r="C247" s="62">
        <v>0</v>
      </c>
      <c r="D247" s="62">
        <v>0</v>
      </c>
    </row>
    <row r="248" spans="1:4">
      <c r="A248" s="62" t="s">
        <v>403</v>
      </c>
      <c r="B248" s="62">
        <v>0</v>
      </c>
      <c r="C248" s="62">
        <v>0</v>
      </c>
      <c r="D248" s="62">
        <v>0</v>
      </c>
    </row>
    <row r="249" spans="1:4">
      <c r="A249" s="62" t="s">
        <v>404</v>
      </c>
      <c r="B249" s="62">
        <v>0</v>
      </c>
      <c r="C249" s="62">
        <v>0</v>
      </c>
      <c r="D249" s="62">
        <v>0</v>
      </c>
    </row>
    <row r="250" spans="1:4">
      <c r="A250" s="62" t="s">
        <v>405</v>
      </c>
      <c r="B250" s="62">
        <v>0</v>
      </c>
      <c r="C250" s="62">
        <v>0</v>
      </c>
      <c r="D250" s="62">
        <v>0</v>
      </c>
    </row>
    <row r="251" spans="1:4">
      <c r="A251" s="62" t="s">
        <v>406</v>
      </c>
      <c r="B251" s="62">
        <v>0</v>
      </c>
      <c r="C251" s="62">
        <v>0</v>
      </c>
      <c r="D251" s="62">
        <v>0</v>
      </c>
    </row>
    <row r="252" spans="1:4">
      <c r="A252" s="62" t="s">
        <v>407</v>
      </c>
      <c r="B252" s="62">
        <v>0</v>
      </c>
      <c r="C252" s="62">
        <v>0</v>
      </c>
      <c r="D252" s="62">
        <v>0</v>
      </c>
    </row>
    <row r="253" spans="1:4">
      <c r="A253" s="62" t="s">
        <v>408</v>
      </c>
      <c r="B253" s="62">
        <v>0</v>
      </c>
      <c r="C253" s="62">
        <v>0</v>
      </c>
      <c r="D253" s="62">
        <v>0</v>
      </c>
    </row>
    <row r="254" spans="1:4">
      <c r="A254" s="62" t="s">
        <v>409</v>
      </c>
      <c r="B254" s="62">
        <v>0</v>
      </c>
      <c r="C254" s="62">
        <v>0</v>
      </c>
      <c r="D254" s="62">
        <v>0</v>
      </c>
    </row>
    <row r="255" spans="1:4">
      <c r="A255" s="62" t="s">
        <v>410</v>
      </c>
      <c r="B255" s="62">
        <v>0</v>
      </c>
      <c r="C255" s="62">
        <v>0</v>
      </c>
      <c r="D255" s="62">
        <v>0</v>
      </c>
    </row>
    <row r="256" spans="1:4">
      <c r="A256" s="62" t="s">
        <v>411</v>
      </c>
      <c r="B256" s="62">
        <v>0</v>
      </c>
      <c r="C256" s="62">
        <v>0</v>
      </c>
      <c r="D256" s="62">
        <v>0</v>
      </c>
    </row>
    <row r="257" spans="1:4">
      <c r="A257" s="62" t="s">
        <v>412</v>
      </c>
      <c r="B257" s="62">
        <v>0</v>
      </c>
      <c r="C257" s="62">
        <v>0</v>
      </c>
      <c r="D257" s="62">
        <v>0</v>
      </c>
    </row>
    <row r="258" spans="1:4">
      <c r="A258" s="62" t="s">
        <v>413</v>
      </c>
      <c r="B258" s="62">
        <v>0</v>
      </c>
      <c r="C258" s="62">
        <v>0</v>
      </c>
      <c r="D258" s="62">
        <v>0</v>
      </c>
    </row>
    <row r="259" spans="1:4">
      <c r="A259" s="62" t="s">
        <v>414</v>
      </c>
      <c r="B259" s="62">
        <v>0</v>
      </c>
      <c r="C259" s="62">
        <v>0</v>
      </c>
      <c r="D259" s="62">
        <v>0</v>
      </c>
    </row>
    <row r="260" spans="1:4">
      <c r="A260" s="62" t="s">
        <v>415</v>
      </c>
      <c r="B260" s="62">
        <v>0</v>
      </c>
      <c r="C260" s="62">
        <v>0</v>
      </c>
      <c r="D260" s="62">
        <v>0</v>
      </c>
    </row>
    <row r="261" spans="1:4">
      <c r="A261" s="62" t="s">
        <v>416</v>
      </c>
      <c r="B261" s="62">
        <v>0</v>
      </c>
      <c r="C261" s="62">
        <v>0</v>
      </c>
      <c r="D261" s="62">
        <v>0</v>
      </c>
    </row>
    <row r="262" spans="1:4">
      <c r="A262" s="62" t="s">
        <v>417</v>
      </c>
      <c r="B262" s="62">
        <v>0</v>
      </c>
      <c r="C262" s="62">
        <v>0</v>
      </c>
      <c r="D262" s="62">
        <v>0</v>
      </c>
    </row>
    <row r="263" spans="1:4">
      <c r="A263" s="62" t="s">
        <v>418</v>
      </c>
      <c r="B263" s="62">
        <v>0</v>
      </c>
      <c r="C263" s="62">
        <v>0</v>
      </c>
      <c r="D263" s="62">
        <v>0</v>
      </c>
    </row>
    <row r="264" spans="1:4">
      <c r="A264" s="62" t="s">
        <v>419</v>
      </c>
      <c r="B264" s="62">
        <v>0</v>
      </c>
      <c r="C264" s="62">
        <v>0</v>
      </c>
      <c r="D264" s="62">
        <v>0</v>
      </c>
    </row>
    <row r="265" spans="1:4">
      <c r="A265" s="62" t="s">
        <v>420</v>
      </c>
      <c r="B265" s="62">
        <v>0</v>
      </c>
      <c r="C265" s="62">
        <v>0</v>
      </c>
      <c r="D265" s="62">
        <v>0</v>
      </c>
    </row>
    <row r="266" spans="1:4">
      <c r="A266" s="62" t="s">
        <v>421</v>
      </c>
      <c r="B266" s="62">
        <v>0</v>
      </c>
      <c r="C266" s="62">
        <v>0</v>
      </c>
      <c r="D266" s="62">
        <v>0</v>
      </c>
    </row>
    <row r="267" spans="1:4">
      <c r="A267" s="62" t="s">
        <v>422</v>
      </c>
      <c r="B267" s="62">
        <v>0</v>
      </c>
      <c r="C267" s="62">
        <v>0</v>
      </c>
      <c r="D267" s="62">
        <v>0</v>
      </c>
    </row>
    <row r="268" spans="1:4">
      <c r="A268" s="62" t="s">
        <v>423</v>
      </c>
      <c r="B268" s="62">
        <v>0</v>
      </c>
      <c r="C268" s="62">
        <v>0</v>
      </c>
      <c r="D268" s="62">
        <v>0</v>
      </c>
    </row>
    <row r="269" spans="1:4">
      <c r="A269" s="62" t="s">
        <v>424</v>
      </c>
      <c r="B269" s="62">
        <v>0</v>
      </c>
      <c r="C269" s="62">
        <v>0</v>
      </c>
      <c r="D269" s="62">
        <v>0</v>
      </c>
    </row>
    <row r="270" spans="1:4">
      <c r="A270" s="62" t="s">
        <v>425</v>
      </c>
      <c r="B270" s="62">
        <v>0</v>
      </c>
      <c r="C270" s="62">
        <v>0</v>
      </c>
      <c r="D270" s="62">
        <v>0</v>
      </c>
    </row>
    <row r="271" spans="1:4">
      <c r="A271" s="62" t="s">
        <v>426</v>
      </c>
      <c r="B271" s="62">
        <v>0</v>
      </c>
      <c r="C271" s="62">
        <v>0</v>
      </c>
      <c r="D271" s="62">
        <v>0</v>
      </c>
    </row>
    <row r="272" spans="1:4">
      <c r="A272" s="62" t="s">
        <v>427</v>
      </c>
      <c r="B272" s="62">
        <v>0</v>
      </c>
      <c r="C272" s="62">
        <v>0</v>
      </c>
      <c r="D272" s="62">
        <v>0</v>
      </c>
    </row>
    <row r="273" spans="1:4">
      <c r="A273" s="62" t="s">
        <v>428</v>
      </c>
      <c r="B273" s="62">
        <v>0</v>
      </c>
      <c r="C273" s="62">
        <v>0</v>
      </c>
      <c r="D273" s="62">
        <v>0</v>
      </c>
    </row>
    <row r="274" spans="1:4">
      <c r="A274" s="62" t="s">
        <v>429</v>
      </c>
      <c r="B274" s="62">
        <v>0</v>
      </c>
      <c r="C274" s="62">
        <v>0</v>
      </c>
      <c r="D274" s="62">
        <v>0</v>
      </c>
    </row>
    <row r="275" spans="1:4">
      <c r="A275" s="62" t="s">
        <v>430</v>
      </c>
      <c r="B275" s="62">
        <v>0</v>
      </c>
      <c r="C275" s="62">
        <v>0</v>
      </c>
      <c r="D275" s="62">
        <v>0</v>
      </c>
    </row>
    <row r="276" spans="1:4">
      <c r="A276" s="62" t="s">
        <v>431</v>
      </c>
      <c r="B276" s="62">
        <v>0</v>
      </c>
      <c r="C276" s="62">
        <v>0</v>
      </c>
      <c r="D276" s="62">
        <v>0</v>
      </c>
    </row>
    <row r="277" spans="1:4">
      <c r="A277" s="62" t="s">
        <v>432</v>
      </c>
      <c r="B277" s="62">
        <v>0</v>
      </c>
      <c r="C277" s="62">
        <v>0</v>
      </c>
      <c r="D277" s="62">
        <v>0</v>
      </c>
    </row>
    <row r="278" spans="1:4">
      <c r="A278" s="62" t="s">
        <v>433</v>
      </c>
      <c r="B278" s="62">
        <v>0</v>
      </c>
      <c r="C278" s="62">
        <v>0</v>
      </c>
      <c r="D278" s="62">
        <v>0</v>
      </c>
    </row>
    <row r="279" spans="1:4">
      <c r="A279" s="62" t="s">
        <v>434</v>
      </c>
      <c r="B279" s="62">
        <v>0</v>
      </c>
      <c r="C279" s="62">
        <v>0</v>
      </c>
      <c r="D279" s="62">
        <v>0</v>
      </c>
    </row>
    <row r="280" spans="1:4">
      <c r="A280" s="62" t="s">
        <v>435</v>
      </c>
      <c r="B280" s="62">
        <v>0</v>
      </c>
      <c r="C280" s="62">
        <v>0</v>
      </c>
      <c r="D280" s="62">
        <v>0</v>
      </c>
    </row>
    <row r="281" spans="1:4">
      <c r="A281" s="62" t="s">
        <v>436</v>
      </c>
      <c r="B281" s="62">
        <v>0</v>
      </c>
      <c r="C281" s="62">
        <v>0</v>
      </c>
      <c r="D281" s="62">
        <v>0</v>
      </c>
    </row>
    <row r="282" spans="1:4">
      <c r="A282" s="62" t="s">
        <v>437</v>
      </c>
      <c r="B282" s="62">
        <v>0</v>
      </c>
      <c r="C282" s="62">
        <v>0</v>
      </c>
      <c r="D282" s="62">
        <v>0</v>
      </c>
    </row>
    <row r="283" spans="1:4">
      <c r="A283" s="62" t="s">
        <v>438</v>
      </c>
      <c r="B283" s="62">
        <v>0</v>
      </c>
      <c r="C283" s="62">
        <v>0</v>
      </c>
      <c r="D283" s="62">
        <v>0</v>
      </c>
    </row>
    <row r="284" spans="1:4">
      <c r="A284" s="62" t="s">
        <v>439</v>
      </c>
      <c r="B284" s="62">
        <v>0</v>
      </c>
      <c r="C284" s="62">
        <v>0</v>
      </c>
      <c r="D284" s="62">
        <v>0</v>
      </c>
    </row>
    <row r="285" spans="1:4">
      <c r="A285" s="62" t="s">
        <v>440</v>
      </c>
      <c r="B285" s="62">
        <v>0</v>
      </c>
      <c r="C285" s="62">
        <v>0</v>
      </c>
      <c r="D285" s="62">
        <v>0</v>
      </c>
    </row>
    <row r="286" spans="1:4">
      <c r="A286" s="62" t="s">
        <v>441</v>
      </c>
      <c r="B286" s="62">
        <v>0</v>
      </c>
      <c r="C286" s="62">
        <v>0</v>
      </c>
      <c r="D286" s="62">
        <v>0</v>
      </c>
    </row>
    <row r="287" spans="1:4">
      <c r="A287" s="62" t="s">
        <v>442</v>
      </c>
      <c r="B287" s="62">
        <v>0</v>
      </c>
      <c r="C287" s="62">
        <v>0</v>
      </c>
      <c r="D287" s="62">
        <v>0</v>
      </c>
    </row>
    <row r="288" spans="1:4">
      <c r="A288" s="62" t="s">
        <v>443</v>
      </c>
      <c r="B288" s="62">
        <v>0</v>
      </c>
      <c r="C288" s="62">
        <v>0</v>
      </c>
      <c r="D288" s="62">
        <v>0</v>
      </c>
    </row>
    <row r="289" spans="1:4">
      <c r="A289" s="62" t="s">
        <v>444</v>
      </c>
      <c r="B289" s="62">
        <v>0</v>
      </c>
      <c r="C289" s="62">
        <v>0</v>
      </c>
      <c r="D289" s="62">
        <v>0</v>
      </c>
    </row>
    <row r="290" spans="1:4">
      <c r="A290" s="62" t="s">
        <v>445</v>
      </c>
      <c r="B290" s="62">
        <v>0</v>
      </c>
      <c r="C290" s="62">
        <v>0</v>
      </c>
      <c r="D290" s="62">
        <v>0</v>
      </c>
    </row>
    <row r="291" spans="1:4">
      <c r="A291" s="62" t="s">
        <v>446</v>
      </c>
      <c r="B291" s="62">
        <v>0</v>
      </c>
      <c r="C291" s="62">
        <v>0</v>
      </c>
      <c r="D291" s="62">
        <v>0</v>
      </c>
    </row>
    <row r="292" spans="1:4">
      <c r="A292" s="62" t="s">
        <v>447</v>
      </c>
      <c r="B292" s="62">
        <v>0</v>
      </c>
      <c r="C292" s="62">
        <v>0</v>
      </c>
      <c r="D292" s="62">
        <v>0</v>
      </c>
    </row>
    <row r="293" spans="1:4">
      <c r="A293" s="62" t="s">
        <v>448</v>
      </c>
      <c r="B293" s="62">
        <v>0</v>
      </c>
      <c r="C293" s="62">
        <v>0</v>
      </c>
      <c r="D293" s="62">
        <v>0</v>
      </c>
    </row>
    <row r="294" spans="1:4">
      <c r="A294" s="62" t="s">
        <v>449</v>
      </c>
      <c r="B294" s="62">
        <v>0</v>
      </c>
      <c r="C294" s="62">
        <v>0</v>
      </c>
      <c r="D294" s="62">
        <v>0</v>
      </c>
    </row>
    <row r="295" spans="1:4">
      <c r="A295" s="62" t="s">
        <v>450</v>
      </c>
      <c r="B295" s="62">
        <v>0</v>
      </c>
      <c r="C295" s="62">
        <v>0</v>
      </c>
      <c r="D295" s="62">
        <v>0</v>
      </c>
    </row>
    <row r="296" spans="1:4">
      <c r="A296" s="62" t="s">
        <v>451</v>
      </c>
      <c r="B296" s="62">
        <v>0</v>
      </c>
      <c r="C296" s="62">
        <v>0</v>
      </c>
      <c r="D296" s="62">
        <v>0</v>
      </c>
    </row>
    <row r="297" spans="1:4">
      <c r="A297" s="62" t="s">
        <v>452</v>
      </c>
      <c r="B297" s="62">
        <v>0</v>
      </c>
      <c r="C297" s="62">
        <v>0</v>
      </c>
      <c r="D297" s="62">
        <v>0</v>
      </c>
    </row>
    <row r="298" spans="1:4">
      <c r="A298" s="62" t="s">
        <v>453</v>
      </c>
      <c r="B298" s="62">
        <v>0</v>
      </c>
      <c r="C298" s="62">
        <v>0</v>
      </c>
      <c r="D298" s="62">
        <v>0</v>
      </c>
    </row>
    <row r="299" spans="1:4">
      <c r="A299" s="62" t="s">
        <v>454</v>
      </c>
      <c r="B299" s="62">
        <v>0</v>
      </c>
      <c r="C299" s="62">
        <v>0</v>
      </c>
      <c r="D299" s="62">
        <v>0</v>
      </c>
    </row>
    <row r="300" spans="1:4">
      <c r="A300" s="62" t="s">
        <v>455</v>
      </c>
      <c r="B300" s="62">
        <v>0</v>
      </c>
      <c r="C300" s="62">
        <v>0</v>
      </c>
      <c r="D300" s="62">
        <v>0</v>
      </c>
    </row>
    <row r="301" spans="1:4">
      <c r="A301" s="62" t="s">
        <v>456</v>
      </c>
      <c r="B301" s="62">
        <v>0</v>
      </c>
      <c r="C301" s="62">
        <v>0</v>
      </c>
      <c r="D301" s="62">
        <v>0</v>
      </c>
    </row>
    <row r="302" spans="1:4">
      <c r="A302" s="62" t="s">
        <v>457</v>
      </c>
      <c r="B302" s="62">
        <v>0</v>
      </c>
      <c r="C302" s="62">
        <v>0</v>
      </c>
      <c r="D302" s="62">
        <v>0</v>
      </c>
    </row>
    <row r="303" spans="1:4">
      <c r="A303" s="62" t="s">
        <v>458</v>
      </c>
      <c r="B303" s="62">
        <v>0</v>
      </c>
      <c r="C303" s="62">
        <v>0</v>
      </c>
      <c r="D303" s="62">
        <v>0</v>
      </c>
    </row>
    <row r="304" spans="1:4">
      <c r="A304" s="62" t="s">
        <v>459</v>
      </c>
      <c r="B304" s="62">
        <v>0</v>
      </c>
      <c r="C304" s="62">
        <v>0</v>
      </c>
      <c r="D304" s="62">
        <v>0</v>
      </c>
    </row>
    <row r="305" spans="1:4">
      <c r="A305" s="62" t="s">
        <v>460</v>
      </c>
      <c r="B305" s="62">
        <v>0</v>
      </c>
      <c r="C305" s="62">
        <v>0</v>
      </c>
      <c r="D305" s="62">
        <v>0</v>
      </c>
    </row>
    <row r="306" spans="1:4">
      <c r="A306" s="62" t="s">
        <v>461</v>
      </c>
      <c r="B306" s="62">
        <v>0</v>
      </c>
      <c r="C306" s="62">
        <v>0</v>
      </c>
      <c r="D306" s="62">
        <v>0</v>
      </c>
    </row>
    <row r="307" spans="1:4">
      <c r="A307" s="62" t="s">
        <v>462</v>
      </c>
      <c r="B307" s="62">
        <v>0</v>
      </c>
      <c r="C307" s="62">
        <v>0</v>
      </c>
      <c r="D307" s="62">
        <v>0</v>
      </c>
    </row>
    <row r="308" spans="1:4">
      <c r="A308" s="62" t="s">
        <v>463</v>
      </c>
      <c r="B308" s="62">
        <v>0</v>
      </c>
      <c r="C308" s="62">
        <v>0</v>
      </c>
      <c r="D308" s="62">
        <v>0</v>
      </c>
    </row>
    <row r="309" spans="1:4">
      <c r="A309" s="62" t="s">
        <v>464</v>
      </c>
      <c r="B309" s="62">
        <v>0</v>
      </c>
      <c r="C309" s="62">
        <v>0</v>
      </c>
      <c r="D309" s="62">
        <v>0</v>
      </c>
    </row>
    <row r="310" spans="1:4">
      <c r="A310" s="62" t="s">
        <v>465</v>
      </c>
      <c r="B310" s="62">
        <v>0</v>
      </c>
      <c r="C310" s="62">
        <v>0</v>
      </c>
      <c r="D310" s="62">
        <v>0</v>
      </c>
    </row>
    <row r="311" spans="1:4">
      <c r="A311" s="62" t="s">
        <v>466</v>
      </c>
      <c r="B311" s="62">
        <v>0</v>
      </c>
      <c r="C311" s="62">
        <v>0</v>
      </c>
      <c r="D311" s="62">
        <v>0</v>
      </c>
    </row>
    <row r="312" spans="1:4">
      <c r="A312" s="62" t="s">
        <v>467</v>
      </c>
      <c r="B312" s="62">
        <v>0</v>
      </c>
      <c r="C312" s="62">
        <v>0</v>
      </c>
      <c r="D312" s="62">
        <v>0</v>
      </c>
    </row>
    <row r="313" spans="1:4">
      <c r="A313" s="62" t="s">
        <v>468</v>
      </c>
      <c r="B313" s="62">
        <v>0</v>
      </c>
      <c r="C313" s="62">
        <v>0</v>
      </c>
      <c r="D313" s="62">
        <v>0</v>
      </c>
    </row>
    <row r="314" spans="1:4">
      <c r="A314" s="62" t="s">
        <v>469</v>
      </c>
      <c r="B314" s="62">
        <v>0</v>
      </c>
      <c r="C314" s="62">
        <v>0</v>
      </c>
      <c r="D314" s="62">
        <v>0</v>
      </c>
    </row>
    <row r="315" spans="1:4">
      <c r="A315" s="62" t="s">
        <v>470</v>
      </c>
      <c r="B315" s="62">
        <v>0</v>
      </c>
      <c r="C315" s="62">
        <v>0</v>
      </c>
      <c r="D315" s="62">
        <v>0</v>
      </c>
    </row>
    <row r="316" spans="1:4">
      <c r="A316" s="62" t="s">
        <v>471</v>
      </c>
      <c r="B316" s="62">
        <v>0</v>
      </c>
      <c r="C316" s="62">
        <v>0</v>
      </c>
      <c r="D316" s="62">
        <v>0</v>
      </c>
    </row>
    <row r="317" spans="1:4">
      <c r="A317" s="62" t="s">
        <v>472</v>
      </c>
      <c r="B317" s="62">
        <v>0</v>
      </c>
      <c r="C317" s="62">
        <v>0</v>
      </c>
      <c r="D317" s="62">
        <v>0</v>
      </c>
    </row>
    <row r="318" spans="1:4">
      <c r="A318" s="62" t="s">
        <v>473</v>
      </c>
      <c r="B318" s="62">
        <v>0</v>
      </c>
      <c r="C318" s="62">
        <v>0</v>
      </c>
      <c r="D318" s="62">
        <v>0</v>
      </c>
    </row>
    <row r="319" spans="1:4">
      <c r="A319" s="62" t="s">
        <v>474</v>
      </c>
      <c r="B319" s="62">
        <v>0</v>
      </c>
      <c r="C319" s="62">
        <v>0</v>
      </c>
      <c r="D319" s="62">
        <v>0</v>
      </c>
    </row>
    <row r="320" spans="1:4">
      <c r="A320" s="62" t="s">
        <v>475</v>
      </c>
      <c r="B320" s="62">
        <v>0</v>
      </c>
      <c r="C320" s="62">
        <v>0</v>
      </c>
      <c r="D320" s="62">
        <v>0</v>
      </c>
    </row>
    <row r="321" spans="1:4">
      <c r="A321" s="62" t="s">
        <v>476</v>
      </c>
      <c r="B321" s="62">
        <v>0</v>
      </c>
      <c r="C321" s="62">
        <v>0</v>
      </c>
      <c r="D321" s="62">
        <v>0</v>
      </c>
    </row>
    <row r="322" spans="1:4">
      <c r="A322" s="62" t="s">
        <v>477</v>
      </c>
      <c r="B322" s="62">
        <v>0</v>
      </c>
      <c r="C322" s="62">
        <v>0</v>
      </c>
      <c r="D322" s="62">
        <v>0</v>
      </c>
    </row>
    <row r="323" spans="1:4">
      <c r="A323" s="62" t="s">
        <v>478</v>
      </c>
      <c r="B323" s="62">
        <v>0</v>
      </c>
      <c r="C323" s="62">
        <v>0</v>
      </c>
      <c r="D323" s="62">
        <v>0</v>
      </c>
    </row>
    <row r="324" spans="1:4">
      <c r="A324" s="62" t="s">
        <v>479</v>
      </c>
      <c r="B324" s="62">
        <v>0</v>
      </c>
      <c r="C324" s="62">
        <v>0</v>
      </c>
      <c r="D324" s="62">
        <v>0</v>
      </c>
    </row>
    <row r="325" spans="1:4">
      <c r="A325" s="62" t="s">
        <v>480</v>
      </c>
      <c r="B325" s="62">
        <v>0</v>
      </c>
      <c r="C325" s="62">
        <v>0</v>
      </c>
      <c r="D325" s="62">
        <v>0</v>
      </c>
    </row>
    <row r="326" spans="1:4">
      <c r="A326" s="62" t="s">
        <v>481</v>
      </c>
      <c r="B326" s="62">
        <v>0</v>
      </c>
      <c r="C326" s="62">
        <v>0</v>
      </c>
      <c r="D326" s="62">
        <v>0</v>
      </c>
    </row>
    <row r="327" spans="1:4">
      <c r="A327" s="62" t="s">
        <v>482</v>
      </c>
      <c r="B327" s="62">
        <v>0</v>
      </c>
      <c r="C327" s="62">
        <v>0</v>
      </c>
      <c r="D327" s="62">
        <v>0</v>
      </c>
    </row>
    <row r="328" spans="1:4">
      <c r="A328" s="62" t="s">
        <v>483</v>
      </c>
      <c r="B328" s="62">
        <v>0</v>
      </c>
      <c r="C328" s="62">
        <v>0</v>
      </c>
      <c r="D328" s="62">
        <v>0</v>
      </c>
    </row>
    <row r="329" spans="1:4">
      <c r="A329" s="62" t="s">
        <v>484</v>
      </c>
      <c r="B329" s="62">
        <v>0</v>
      </c>
      <c r="C329" s="62">
        <v>0</v>
      </c>
      <c r="D329" s="62">
        <v>0</v>
      </c>
    </row>
    <row r="330" spans="1:4">
      <c r="A330" s="62" t="s">
        <v>485</v>
      </c>
      <c r="B330" s="62">
        <v>0</v>
      </c>
      <c r="C330" s="62">
        <v>0</v>
      </c>
      <c r="D330" s="62">
        <v>0</v>
      </c>
    </row>
    <row r="331" spans="1:4">
      <c r="A331" s="62" t="s">
        <v>486</v>
      </c>
      <c r="B331" s="62">
        <v>0</v>
      </c>
      <c r="C331" s="62">
        <v>0</v>
      </c>
      <c r="D331" s="62">
        <v>0</v>
      </c>
    </row>
    <row r="332" spans="1:4">
      <c r="A332" s="62" t="s">
        <v>487</v>
      </c>
      <c r="B332" s="62">
        <v>0</v>
      </c>
      <c r="C332" s="62">
        <v>0</v>
      </c>
      <c r="D332" s="62">
        <v>0</v>
      </c>
    </row>
    <row r="333" spans="1:4">
      <c r="A333" s="62" t="s">
        <v>488</v>
      </c>
      <c r="B333" s="62">
        <v>0</v>
      </c>
      <c r="C333" s="62">
        <v>0</v>
      </c>
      <c r="D333" s="62">
        <v>0</v>
      </c>
    </row>
    <row r="334" spans="1:4">
      <c r="A334" s="62" t="s">
        <v>489</v>
      </c>
      <c r="B334" s="62">
        <v>0</v>
      </c>
      <c r="C334" s="62">
        <v>0</v>
      </c>
      <c r="D334" s="62">
        <v>0</v>
      </c>
    </row>
    <row r="335" spans="1:4">
      <c r="A335" s="62" t="s">
        <v>490</v>
      </c>
      <c r="B335" s="62">
        <v>0</v>
      </c>
      <c r="C335" s="62">
        <v>0</v>
      </c>
      <c r="D335" s="62">
        <v>0</v>
      </c>
    </row>
    <row r="336" spans="1:4">
      <c r="A336" s="62" t="s">
        <v>491</v>
      </c>
      <c r="B336" s="62">
        <v>0</v>
      </c>
      <c r="C336" s="62">
        <v>0</v>
      </c>
      <c r="D336" s="62">
        <v>0</v>
      </c>
    </row>
    <row r="337" spans="1:4">
      <c r="A337" s="62" t="s">
        <v>492</v>
      </c>
      <c r="B337" s="62">
        <v>0</v>
      </c>
      <c r="C337" s="62">
        <v>0</v>
      </c>
      <c r="D337" s="62">
        <v>0</v>
      </c>
    </row>
    <row r="338" spans="1:4">
      <c r="A338" s="62" t="s">
        <v>493</v>
      </c>
      <c r="B338" s="62">
        <v>0</v>
      </c>
      <c r="C338" s="62">
        <v>0</v>
      </c>
      <c r="D338" s="62">
        <v>0</v>
      </c>
    </row>
    <row r="339" spans="1:4">
      <c r="A339" s="62" t="s">
        <v>494</v>
      </c>
      <c r="B339" s="62">
        <v>0</v>
      </c>
      <c r="C339" s="62">
        <v>0</v>
      </c>
      <c r="D339" s="62">
        <v>0</v>
      </c>
    </row>
    <row r="340" spans="1:4">
      <c r="A340" s="62" t="s">
        <v>495</v>
      </c>
      <c r="B340" s="62">
        <v>0</v>
      </c>
      <c r="C340" s="62">
        <v>0</v>
      </c>
      <c r="D340" s="62">
        <v>0</v>
      </c>
    </row>
    <row r="341" spans="1:4">
      <c r="A341" s="62" t="s">
        <v>496</v>
      </c>
      <c r="B341" s="62">
        <v>0</v>
      </c>
      <c r="C341" s="62">
        <v>0</v>
      </c>
      <c r="D341" s="62">
        <v>0</v>
      </c>
    </row>
    <row r="342" spans="1:4">
      <c r="A342" s="62" t="s">
        <v>497</v>
      </c>
      <c r="B342" s="62">
        <v>0</v>
      </c>
      <c r="C342" s="62">
        <v>0</v>
      </c>
      <c r="D342" s="62">
        <v>0</v>
      </c>
    </row>
    <row r="343" spans="1:4">
      <c r="A343" s="62" t="s">
        <v>498</v>
      </c>
      <c r="B343" s="62">
        <v>0</v>
      </c>
      <c r="C343" s="62">
        <v>0</v>
      </c>
      <c r="D343" s="62">
        <v>0</v>
      </c>
    </row>
    <row r="344" spans="1:4">
      <c r="A344" s="62" t="s">
        <v>499</v>
      </c>
      <c r="B344" s="62">
        <v>0</v>
      </c>
      <c r="C344" s="62">
        <v>0</v>
      </c>
      <c r="D344" s="62">
        <v>0</v>
      </c>
    </row>
    <row r="345" spans="1:4">
      <c r="A345" s="62" t="s">
        <v>500</v>
      </c>
      <c r="B345" s="62">
        <v>0</v>
      </c>
      <c r="C345" s="62">
        <v>0</v>
      </c>
      <c r="D345" s="62">
        <v>0</v>
      </c>
    </row>
    <row r="346" spans="1:4">
      <c r="A346" s="62" t="s">
        <v>501</v>
      </c>
      <c r="B346" s="62">
        <v>0</v>
      </c>
      <c r="C346" s="62">
        <v>0</v>
      </c>
      <c r="D346" s="62">
        <v>0</v>
      </c>
    </row>
    <row r="347" spans="1:4">
      <c r="A347" s="62" t="s">
        <v>502</v>
      </c>
      <c r="B347" s="62">
        <v>0</v>
      </c>
      <c r="C347" s="62">
        <v>0</v>
      </c>
      <c r="D347" s="62">
        <v>0</v>
      </c>
    </row>
    <row r="348" spans="1:4">
      <c r="A348" s="62" t="s">
        <v>503</v>
      </c>
      <c r="B348" s="62">
        <v>0</v>
      </c>
      <c r="C348" s="62">
        <v>0</v>
      </c>
      <c r="D348" s="62">
        <v>0</v>
      </c>
    </row>
    <row r="349" spans="1:4">
      <c r="A349" s="62" t="s">
        <v>504</v>
      </c>
      <c r="B349" s="62">
        <v>0</v>
      </c>
      <c r="C349" s="62">
        <v>0</v>
      </c>
      <c r="D349" s="62">
        <v>0</v>
      </c>
    </row>
    <row r="350" spans="1:4">
      <c r="A350" s="62" t="s">
        <v>505</v>
      </c>
      <c r="B350" s="62">
        <v>0</v>
      </c>
      <c r="C350" s="62">
        <v>0</v>
      </c>
      <c r="D350" s="62">
        <v>0</v>
      </c>
    </row>
    <row r="351" spans="1:4">
      <c r="A351" s="62" t="s">
        <v>506</v>
      </c>
      <c r="B351" s="62">
        <v>0</v>
      </c>
      <c r="C351" s="62">
        <v>0</v>
      </c>
      <c r="D351" s="62">
        <v>0</v>
      </c>
    </row>
    <row r="352" spans="1:4">
      <c r="A352" s="62" t="s">
        <v>507</v>
      </c>
      <c r="B352" s="62">
        <v>0</v>
      </c>
      <c r="C352" s="62">
        <v>0</v>
      </c>
      <c r="D352" s="62">
        <v>0</v>
      </c>
    </row>
    <row r="353" spans="1:4">
      <c r="A353" s="62" t="s">
        <v>508</v>
      </c>
      <c r="B353" s="62">
        <v>0</v>
      </c>
      <c r="C353" s="62">
        <v>0</v>
      </c>
      <c r="D353" s="62">
        <v>0</v>
      </c>
    </row>
    <row r="354" spans="1:4">
      <c r="A354" s="62" t="s">
        <v>509</v>
      </c>
      <c r="B354" s="62">
        <v>0</v>
      </c>
      <c r="C354" s="62">
        <v>0</v>
      </c>
      <c r="D354" s="62">
        <v>0</v>
      </c>
    </row>
    <row r="355" spans="1:4">
      <c r="A355" s="62" t="s">
        <v>510</v>
      </c>
      <c r="B355" s="62">
        <v>0</v>
      </c>
      <c r="C355" s="62">
        <v>0</v>
      </c>
      <c r="D355" s="62">
        <v>0</v>
      </c>
    </row>
    <row r="356" spans="1:4">
      <c r="A356" s="62" t="s">
        <v>511</v>
      </c>
      <c r="B356" s="62">
        <v>0</v>
      </c>
      <c r="C356" s="62">
        <v>0</v>
      </c>
      <c r="D356" s="62">
        <v>0</v>
      </c>
    </row>
    <row r="357" spans="1:4">
      <c r="A357" s="62" t="s">
        <v>512</v>
      </c>
      <c r="B357" s="62">
        <v>0</v>
      </c>
      <c r="C357" s="62">
        <v>0</v>
      </c>
      <c r="D357" s="62">
        <v>0</v>
      </c>
    </row>
    <row r="358" spans="1:4">
      <c r="A358" s="62" t="s">
        <v>513</v>
      </c>
      <c r="B358" s="62">
        <v>0</v>
      </c>
      <c r="C358" s="62">
        <v>0</v>
      </c>
      <c r="D358" s="62">
        <v>0</v>
      </c>
    </row>
    <row r="359" spans="1:4">
      <c r="A359" s="62" t="s">
        <v>514</v>
      </c>
      <c r="B359" s="62">
        <v>0</v>
      </c>
      <c r="C359" s="62">
        <v>0</v>
      </c>
      <c r="D359" s="62">
        <v>0</v>
      </c>
    </row>
    <row r="360" spans="1:4">
      <c r="A360" s="62" t="s">
        <v>515</v>
      </c>
      <c r="B360" s="62">
        <v>0</v>
      </c>
      <c r="C360" s="62">
        <v>0</v>
      </c>
      <c r="D360" s="62">
        <v>0</v>
      </c>
    </row>
    <row r="361" spans="1:4">
      <c r="A361" s="62" t="s">
        <v>516</v>
      </c>
      <c r="B361" s="62">
        <v>0</v>
      </c>
      <c r="C361" s="62">
        <v>0</v>
      </c>
      <c r="D361" s="62">
        <v>0</v>
      </c>
    </row>
    <row r="362" spans="1:4">
      <c r="A362" s="62" t="s">
        <v>517</v>
      </c>
      <c r="B362" s="62">
        <v>0</v>
      </c>
      <c r="C362" s="62">
        <v>0</v>
      </c>
      <c r="D362" s="62">
        <v>0</v>
      </c>
    </row>
    <row r="363" spans="1:4">
      <c r="A363" s="62" t="s">
        <v>518</v>
      </c>
      <c r="B363" s="62">
        <v>0</v>
      </c>
      <c r="C363" s="62">
        <v>0</v>
      </c>
      <c r="D363" s="62">
        <v>0</v>
      </c>
    </row>
    <row r="364" spans="1:4">
      <c r="A364" s="62" t="s">
        <v>519</v>
      </c>
      <c r="B364" s="62">
        <v>0</v>
      </c>
      <c r="C364" s="62">
        <v>0</v>
      </c>
      <c r="D364" s="62">
        <v>0</v>
      </c>
    </row>
    <row r="365" spans="1:4">
      <c r="A365" s="62" t="s">
        <v>520</v>
      </c>
      <c r="B365" s="62">
        <v>0</v>
      </c>
      <c r="C365" s="62">
        <v>0</v>
      </c>
      <c r="D365" s="62">
        <v>0</v>
      </c>
    </row>
    <row r="366" spans="1:4">
      <c r="A366" s="62" t="s">
        <v>521</v>
      </c>
      <c r="B366" s="62">
        <v>0</v>
      </c>
      <c r="C366" s="62">
        <v>0</v>
      </c>
      <c r="D366" s="62">
        <v>0</v>
      </c>
    </row>
    <row r="367" spans="1:4">
      <c r="A367" s="62" t="s">
        <v>522</v>
      </c>
      <c r="B367" s="62">
        <v>0</v>
      </c>
      <c r="C367" s="62">
        <v>0</v>
      </c>
      <c r="D367" s="62">
        <v>0</v>
      </c>
    </row>
    <row r="368" spans="1:4">
      <c r="A368" s="62" t="s">
        <v>523</v>
      </c>
      <c r="B368" s="62">
        <v>0</v>
      </c>
      <c r="C368" s="62">
        <v>0</v>
      </c>
      <c r="D368" s="62">
        <v>0</v>
      </c>
    </row>
    <row r="369" spans="1:4">
      <c r="A369" s="62" t="s">
        <v>524</v>
      </c>
      <c r="B369" s="62">
        <v>0</v>
      </c>
      <c r="C369" s="62">
        <v>0</v>
      </c>
      <c r="D369" s="62">
        <v>0</v>
      </c>
    </row>
    <row r="370" spans="1:4">
      <c r="A370" s="62" t="s">
        <v>525</v>
      </c>
      <c r="B370" s="62">
        <v>0</v>
      </c>
      <c r="C370" s="62">
        <v>0</v>
      </c>
      <c r="D370" s="62">
        <v>0</v>
      </c>
    </row>
    <row r="371" spans="1:4">
      <c r="A371" s="62" t="s">
        <v>526</v>
      </c>
      <c r="B371" s="62">
        <v>0</v>
      </c>
      <c r="C371" s="62">
        <v>0</v>
      </c>
      <c r="D371" s="62">
        <v>0</v>
      </c>
    </row>
    <row r="372" spans="1:4">
      <c r="A372" s="62" t="s">
        <v>527</v>
      </c>
      <c r="B372" s="62">
        <v>0</v>
      </c>
      <c r="C372" s="62">
        <v>0</v>
      </c>
      <c r="D372" s="62">
        <v>0</v>
      </c>
    </row>
    <row r="373" spans="1:4">
      <c r="A373" s="62" t="s">
        <v>528</v>
      </c>
      <c r="B373" s="62">
        <v>0</v>
      </c>
      <c r="C373" s="62">
        <v>0</v>
      </c>
      <c r="D373" s="62">
        <v>0</v>
      </c>
    </row>
    <row r="374" spans="1:4">
      <c r="A374" s="62" t="s">
        <v>529</v>
      </c>
      <c r="B374" s="62">
        <v>0</v>
      </c>
      <c r="C374" s="62">
        <v>0</v>
      </c>
      <c r="D374" s="62">
        <v>0</v>
      </c>
    </row>
    <row r="375" spans="1:4">
      <c r="A375" s="62" t="s">
        <v>530</v>
      </c>
      <c r="B375" s="62">
        <v>0</v>
      </c>
      <c r="C375" s="62">
        <v>0</v>
      </c>
      <c r="D375" s="62">
        <v>0</v>
      </c>
    </row>
    <row r="376" spans="1:4">
      <c r="A376" s="62" t="s">
        <v>531</v>
      </c>
      <c r="B376" s="62">
        <v>0</v>
      </c>
      <c r="C376" s="62">
        <v>0</v>
      </c>
      <c r="D376" s="62">
        <v>0</v>
      </c>
    </row>
    <row r="377" spans="1:4">
      <c r="A377" s="62" t="s">
        <v>532</v>
      </c>
      <c r="B377" s="62">
        <v>0</v>
      </c>
      <c r="C377" s="62">
        <v>0</v>
      </c>
      <c r="D377" s="62">
        <v>0</v>
      </c>
    </row>
    <row r="378" spans="1:4">
      <c r="A378" s="62" t="s">
        <v>533</v>
      </c>
      <c r="B378" s="62">
        <v>0</v>
      </c>
      <c r="C378" s="62">
        <v>0</v>
      </c>
      <c r="D378" s="62">
        <v>0</v>
      </c>
    </row>
    <row r="379" spans="1:4">
      <c r="A379" s="62" t="s">
        <v>534</v>
      </c>
      <c r="B379" s="62">
        <v>0</v>
      </c>
      <c r="C379" s="62">
        <v>0</v>
      </c>
      <c r="D379" s="62">
        <v>0</v>
      </c>
    </row>
    <row r="380" spans="1:4">
      <c r="A380" s="62" t="s">
        <v>535</v>
      </c>
      <c r="B380" s="62">
        <v>0</v>
      </c>
      <c r="C380" s="62">
        <v>0</v>
      </c>
      <c r="D380" s="62">
        <v>0</v>
      </c>
    </row>
    <row r="381" spans="1:4">
      <c r="A381" s="62" t="s">
        <v>536</v>
      </c>
      <c r="B381" s="62">
        <v>0</v>
      </c>
      <c r="C381" s="62">
        <v>0</v>
      </c>
      <c r="D381" s="62">
        <v>0</v>
      </c>
    </row>
    <row r="382" spans="1:4">
      <c r="A382" s="62" t="s">
        <v>537</v>
      </c>
      <c r="B382" s="62">
        <v>0</v>
      </c>
      <c r="C382" s="62">
        <v>0</v>
      </c>
      <c r="D382" s="62">
        <v>0</v>
      </c>
    </row>
    <row r="383" spans="1:4">
      <c r="A383" s="62" t="s">
        <v>538</v>
      </c>
      <c r="B383" s="62">
        <v>0</v>
      </c>
      <c r="C383" s="62">
        <v>0</v>
      </c>
      <c r="D383" s="62">
        <v>0</v>
      </c>
    </row>
    <row r="384" spans="1:4">
      <c r="A384" s="62" t="s">
        <v>539</v>
      </c>
      <c r="B384" s="62">
        <v>0</v>
      </c>
      <c r="C384" s="62">
        <v>0</v>
      </c>
      <c r="D384" s="62">
        <v>0</v>
      </c>
    </row>
    <row r="385" spans="1:4">
      <c r="A385" s="62" t="s">
        <v>540</v>
      </c>
      <c r="B385" s="62">
        <v>0</v>
      </c>
      <c r="C385" s="62">
        <v>0</v>
      </c>
      <c r="D385" s="62">
        <v>0</v>
      </c>
    </row>
    <row r="386" spans="1:4">
      <c r="A386" s="62" t="s">
        <v>541</v>
      </c>
      <c r="B386" s="62">
        <v>0</v>
      </c>
      <c r="C386" s="62">
        <v>0</v>
      </c>
      <c r="D386" s="62">
        <v>0</v>
      </c>
    </row>
    <row r="387" spans="1:4">
      <c r="A387" s="62" t="s">
        <v>542</v>
      </c>
      <c r="B387" s="62">
        <v>0</v>
      </c>
      <c r="C387" s="62">
        <v>0</v>
      </c>
      <c r="D387" s="62">
        <v>0</v>
      </c>
    </row>
    <row r="388" spans="1:4">
      <c r="A388" s="62" t="s">
        <v>543</v>
      </c>
      <c r="B388" s="62">
        <v>0</v>
      </c>
      <c r="C388" s="62">
        <v>0</v>
      </c>
      <c r="D388" s="62">
        <v>0</v>
      </c>
    </row>
    <row r="389" spans="1:4">
      <c r="A389" s="62" t="s">
        <v>544</v>
      </c>
      <c r="B389" s="62">
        <v>0</v>
      </c>
      <c r="C389" s="62">
        <v>0</v>
      </c>
      <c r="D389" s="62">
        <v>0</v>
      </c>
    </row>
    <row r="390" spans="1:4">
      <c r="A390" s="62" t="s">
        <v>545</v>
      </c>
      <c r="B390" s="62">
        <v>0</v>
      </c>
      <c r="C390" s="62">
        <v>0</v>
      </c>
      <c r="D390" s="62">
        <v>0</v>
      </c>
    </row>
    <row r="391" spans="1:4">
      <c r="A391" s="62" t="s">
        <v>546</v>
      </c>
      <c r="B391" s="62">
        <v>0</v>
      </c>
      <c r="C391" s="62">
        <v>0</v>
      </c>
      <c r="D391" s="62">
        <v>0</v>
      </c>
    </row>
    <row r="392" spans="1:4">
      <c r="A392" s="62" t="s">
        <v>547</v>
      </c>
      <c r="B392" s="62">
        <v>0</v>
      </c>
      <c r="C392" s="62">
        <v>0</v>
      </c>
      <c r="D392" s="62">
        <v>0</v>
      </c>
    </row>
    <row r="393" spans="1:4">
      <c r="A393" s="62" t="s">
        <v>548</v>
      </c>
      <c r="B393" s="62">
        <v>0</v>
      </c>
      <c r="C393" s="62">
        <v>0</v>
      </c>
      <c r="D393" s="62">
        <v>0</v>
      </c>
    </row>
    <row r="394" spans="1:4">
      <c r="A394" s="62" t="s">
        <v>549</v>
      </c>
      <c r="B394" s="62">
        <v>0</v>
      </c>
      <c r="C394" s="62">
        <v>0</v>
      </c>
      <c r="D394" s="62">
        <v>0</v>
      </c>
    </row>
    <row r="395" spans="1:4">
      <c r="A395" s="62" t="s">
        <v>550</v>
      </c>
      <c r="B395" s="62">
        <v>0</v>
      </c>
      <c r="C395" s="62">
        <v>0</v>
      </c>
      <c r="D395" s="62">
        <v>0</v>
      </c>
    </row>
    <row r="396" spans="1:4">
      <c r="A396" s="62" t="s">
        <v>551</v>
      </c>
      <c r="B396" s="62">
        <v>0</v>
      </c>
      <c r="C396" s="62">
        <v>0</v>
      </c>
      <c r="D396" s="62">
        <v>0</v>
      </c>
    </row>
    <row r="397" spans="1:4">
      <c r="A397" s="62" t="s">
        <v>552</v>
      </c>
      <c r="B397" s="62">
        <v>0</v>
      </c>
      <c r="C397" s="62">
        <v>0</v>
      </c>
      <c r="D397" s="62">
        <v>0</v>
      </c>
    </row>
    <row r="398" spans="1:4">
      <c r="A398" s="62" t="s">
        <v>553</v>
      </c>
      <c r="B398" s="62">
        <v>0</v>
      </c>
      <c r="C398" s="62">
        <v>0</v>
      </c>
      <c r="D398" s="62">
        <v>0</v>
      </c>
    </row>
    <row r="399" spans="1:4">
      <c r="A399" s="62" t="s">
        <v>554</v>
      </c>
      <c r="B399" s="62">
        <v>0</v>
      </c>
      <c r="C399" s="62">
        <v>0</v>
      </c>
      <c r="D399" s="62">
        <v>0</v>
      </c>
    </row>
    <row r="400" spans="1:4">
      <c r="A400" s="62" t="s">
        <v>555</v>
      </c>
      <c r="B400" s="62">
        <v>0</v>
      </c>
      <c r="C400" s="62">
        <v>0</v>
      </c>
      <c r="D400" s="62">
        <v>0</v>
      </c>
    </row>
    <row r="401" spans="1:4">
      <c r="A401" s="62" t="s">
        <v>556</v>
      </c>
      <c r="B401" s="62">
        <v>0</v>
      </c>
      <c r="C401" s="62">
        <v>0</v>
      </c>
      <c r="D401" s="62">
        <v>0</v>
      </c>
    </row>
    <row r="402" spans="1:4">
      <c r="A402" s="62" t="s">
        <v>557</v>
      </c>
      <c r="B402" s="62">
        <v>0</v>
      </c>
      <c r="C402" s="62">
        <v>0</v>
      </c>
      <c r="D402" s="62">
        <v>0</v>
      </c>
    </row>
    <row r="403" spans="1:4">
      <c r="A403" s="62" t="s">
        <v>558</v>
      </c>
      <c r="B403" s="62">
        <v>0</v>
      </c>
      <c r="C403" s="62">
        <v>0</v>
      </c>
      <c r="D403" s="62">
        <v>0</v>
      </c>
    </row>
    <row r="404" spans="1:4">
      <c r="A404" s="62" t="s">
        <v>559</v>
      </c>
      <c r="B404" s="62">
        <v>0</v>
      </c>
      <c r="C404" s="62">
        <v>0</v>
      </c>
      <c r="D404" s="62">
        <v>0</v>
      </c>
    </row>
    <row r="405" spans="1:4">
      <c r="A405" s="62" t="s">
        <v>560</v>
      </c>
      <c r="B405" s="62">
        <v>0</v>
      </c>
      <c r="C405" s="62">
        <v>0</v>
      </c>
      <c r="D405" s="62">
        <v>0</v>
      </c>
    </row>
    <row r="406" spans="1:4">
      <c r="A406" s="62" t="s">
        <v>561</v>
      </c>
      <c r="B406" s="62">
        <v>0</v>
      </c>
      <c r="C406" s="62">
        <v>0</v>
      </c>
      <c r="D406" s="62">
        <v>0</v>
      </c>
    </row>
    <row r="407" spans="1:4">
      <c r="A407" s="62" t="s">
        <v>562</v>
      </c>
      <c r="B407" s="62">
        <v>0</v>
      </c>
      <c r="C407" s="62">
        <v>0</v>
      </c>
      <c r="D407" s="62">
        <v>0</v>
      </c>
    </row>
    <row r="408" spans="1:4">
      <c r="A408" s="62" t="s">
        <v>563</v>
      </c>
      <c r="B408" s="62">
        <v>0</v>
      </c>
      <c r="C408" s="62">
        <v>0</v>
      </c>
      <c r="D408" s="62">
        <v>0</v>
      </c>
    </row>
    <row r="409" spans="1:4">
      <c r="A409" s="62" t="s">
        <v>564</v>
      </c>
      <c r="B409" s="62">
        <v>0</v>
      </c>
      <c r="C409" s="62">
        <v>0</v>
      </c>
      <c r="D409" s="62">
        <v>0</v>
      </c>
    </row>
    <row r="410" spans="1:4">
      <c r="A410" s="62" t="s">
        <v>565</v>
      </c>
      <c r="B410" s="62">
        <v>0</v>
      </c>
      <c r="C410" s="62">
        <v>0</v>
      </c>
      <c r="D410" s="62">
        <v>0</v>
      </c>
    </row>
    <row r="411" spans="1:4">
      <c r="A411" s="62" t="s">
        <v>566</v>
      </c>
      <c r="B411" s="62">
        <v>0</v>
      </c>
      <c r="C411" s="62">
        <v>0</v>
      </c>
      <c r="D411" s="62">
        <v>0</v>
      </c>
    </row>
    <row r="412" spans="1:4">
      <c r="A412" s="62" t="s">
        <v>567</v>
      </c>
      <c r="B412" s="62">
        <v>0</v>
      </c>
      <c r="C412" s="62">
        <v>0</v>
      </c>
      <c r="D412" s="62">
        <v>0</v>
      </c>
    </row>
    <row r="413" spans="1:4">
      <c r="A413" s="62" t="s">
        <v>568</v>
      </c>
      <c r="B413" s="62">
        <v>0</v>
      </c>
      <c r="C413" s="62">
        <v>0</v>
      </c>
      <c r="D413" s="62">
        <v>0</v>
      </c>
    </row>
    <row r="414" spans="1:4">
      <c r="A414" s="62" t="s">
        <v>569</v>
      </c>
      <c r="B414" s="62">
        <v>0</v>
      </c>
      <c r="C414" s="62">
        <v>0</v>
      </c>
      <c r="D414" s="62">
        <v>0</v>
      </c>
    </row>
    <row r="415" spans="1:4">
      <c r="A415" s="62" t="s">
        <v>570</v>
      </c>
      <c r="B415" s="62">
        <v>0</v>
      </c>
      <c r="C415" s="62">
        <v>0</v>
      </c>
      <c r="D415" s="62">
        <v>0</v>
      </c>
    </row>
    <row r="416" spans="1:4">
      <c r="A416" s="62" t="s">
        <v>571</v>
      </c>
      <c r="B416" s="62">
        <v>0</v>
      </c>
      <c r="C416" s="62">
        <v>0</v>
      </c>
      <c r="D416" s="62">
        <v>0</v>
      </c>
    </row>
    <row r="417" spans="1:4">
      <c r="A417" s="62" t="s">
        <v>572</v>
      </c>
      <c r="B417" s="62">
        <v>0</v>
      </c>
      <c r="C417" s="62">
        <v>0</v>
      </c>
      <c r="D417" s="62">
        <v>0</v>
      </c>
    </row>
    <row r="418" spans="1:4">
      <c r="A418" s="62" t="s">
        <v>573</v>
      </c>
      <c r="B418" s="62">
        <v>0</v>
      </c>
      <c r="C418" s="62">
        <v>0</v>
      </c>
      <c r="D418" s="62">
        <v>0</v>
      </c>
    </row>
    <row r="419" spans="1:4">
      <c r="A419" s="62" t="s">
        <v>574</v>
      </c>
      <c r="B419" s="62">
        <v>0</v>
      </c>
      <c r="C419" s="62">
        <v>0</v>
      </c>
      <c r="D419" s="62">
        <v>0</v>
      </c>
    </row>
    <row r="420" spans="1:4">
      <c r="A420" s="62" t="s">
        <v>575</v>
      </c>
      <c r="B420" s="62">
        <v>0</v>
      </c>
      <c r="C420" s="62">
        <v>0</v>
      </c>
      <c r="D420" s="62">
        <v>0</v>
      </c>
    </row>
    <row r="421" spans="1:4">
      <c r="A421" s="62" t="s">
        <v>576</v>
      </c>
      <c r="B421" s="62">
        <v>0</v>
      </c>
      <c r="C421" s="62">
        <v>0</v>
      </c>
      <c r="D421" s="62">
        <v>0</v>
      </c>
    </row>
    <row r="422" spans="1:4">
      <c r="A422" s="62" t="s">
        <v>577</v>
      </c>
      <c r="B422" s="62">
        <v>0</v>
      </c>
      <c r="C422" s="62">
        <v>0</v>
      </c>
      <c r="D422" s="62">
        <v>0</v>
      </c>
    </row>
    <row r="423" spans="1:4">
      <c r="A423" s="62" t="s">
        <v>578</v>
      </c>
      <c r="B423" s="62">
        <v>0</v>
      </c>
      <c r="C423" s="62">
        <v>0</v>
      </c>
      <c r="D423" s="62">
        <v>0</v>
      </c>
    </row>
    <row r="424" spans="1:4">
      <c r="A424" s="62" t="s">
        <v>579</v>
      </c>
      <c r="B424" s="62">
        <v>0</v>
      </c>
      <c r="C424" s="62">
        <v>0</v>
      </c>
      <c r="D424" s="62">
        <v>0</v>
      </c>
    </row>
    <row r="425" spans="1:4">
      <c r="A425" s="62" t="s">
        <v>580</v>
      </c>
      <c r="B425" s="62">
        <v>0</v>
      </c>
      <c r="C425" s="62">
        <v>0</v>
      </c>
      <c r="D425" s="62">
        <v>0</v>
      </c>
    </row>
    <row r="426" spans="1:4">
      <c r="A426" s="62" t="s">
        <v>581</v>
      </c>
      <c r="B426" s="62">
        <v>0</v>
      </c>
      <c r="C426" s="62">
        <v>0</v>
      </c>
      <c r="D426" s="62">
        <v>0</v>
      </c>
    </row>
    <row r="427" spans="1:4">
      <c r="A427" s="62" t="s">
        <v>582</v>
      </c>
      <c r="B427" s="62">
        <v>0</v>
      </c>
      <c r="C427" s="62">
        <v>0</v>
      </c>
      <c r="D427" s="62">
        <v>0</v>
      </c>
    </row>
    <row r="428" spans="1:4">
      <c r="A428" s="62" t="s">
        <v>583</v>
      </c>
      <c r="B428" s="62">
        <v>0</v>
      </c>
      <c r="C428" s="62">
        <v>0</v>
      </c>
      <c r="D428" s="62">
        <v>0</v>
      </c>
    </row>
    <row r="429" spans="1:4">
      <c r="A429" s="62" t="s">
        <v>584</v>
      </c>
      <c r="B429" s="62">
        <v>0</v>
      </c>
      <c r="C429" s="62">
        <v>0</v>
      </c>
      <c r="D429" s="62">
        <v>0</v>
      </c>
    </row>
    <row r="430" spans="1:4">
      <c r="A430" s="62" t="s">
        <v>585</v>
      </c>
      <c r="B430" s="62">
        <v>0</v>
      </c>
      <c r="C430" s="62">
        <v>0</v>
      </c>
      <c r="D430" s="62">
        <v>0</v>
      </c>
    </row>
    <row r="431" spans="1:4">
      <c r="A431" s="62" t="s">
        <v>586</v>
      </c>
      <c r="B431" s="62">
        <v>0</v>
      </c>
      <c r="C431" s="62">
        <v>0</v>
      </c>
      <c r="D431" s="62">
        <v>0</v>
      </c>
    </row>
    <row r="432" spans="1:4">
      <c r="A432" s="62" t="s">
        <v>587</v>
      </c>
      <c r="B432" s="62">
        <v>0</v>
      </c>
      <c r="C432" s="62">
        <v>0</v>
      </c>
      <c r="D432" s="62">
        <v>0</v>
      </c>
    </row>
    <row r="433" spans="1:4">
      <c r="A433" s="62" t="s">
        <v>588</v>
      </c>
      <c r="B433" s="62">
        <v>0</v>
      </c>
      <c r="C433" s="62">
        <v>0</v>
      </c>
      <c r="D433" s="62">
        <v>0</v>
      </c>
    </row>
    <row r="434" spans="1:4">
      <c r="A434" s="62" t="s">
        <v>589</v>
      </c>
      <c r="B434" s="62">
        <v>0</v>
      </c>
      <c r="C434" s="62">
        <v>0</v>
      </c>
      <c r="D434" s="62">
        <v>0</v>
      </c>
    </row>
    <row r="435" spans="1:4">
      <c r="A435" s="62" t="s">
        <v>590</v>
      </c>
      <c r="B435" s="62">
        <v>0</v>
      </c>
      <c r="C435" s="62">
        <v>0</v>
      </c>
      <c r="D435" s="62">
        <v>0</v>
      </c>
    </row>
    <row r="436" spans="1:4">
      <c r="A436" s="62" t="s">
        <v>591</v>
      </c>
      <c r="B436" s="62">
        <v>0</v>
      </c>
      <c r="C436" s="62">
        <v>0</v>
      </c>
      <c r="D436" s="62">
        <v>0</v>
      </c>
    </row>
    <row r="437" spans="1:4">
      <c r="A437" s="62" t="s">
        <v>592</v>
      </c>
      <c r="B437" s="62">
        <v>0</v>
      </c>
      <c r="C437" s="62">
        <v>0</v>
      </c>
      <c r="D437" s="62">
        <v>0</v>
      </c>
    </row>
    <row r="438" spans="1:4">
      <c r="A438" s="62" t="s">
        <v>593</v>
      </c>
      <c r="B438" s="62">
        <v>0</v>
      </c>
      <c r="C438" s="62">
        <v>0</v>
      </c>
      <c r="D438" s="62">
        <v>0</v>
      </c>
    </row>
    <row r="439" spans="1:4">
      <c r="A439" s="62" t="s">
        <v>594</v>
      </c>
      <c r="B439" s="62">
        <v>0</v>
      </c>
      <c r="C439" s="62">
        <v>0</v>
      </c>
      <c r="D439" s="62">
        <v>0</v>
      </c>
    </row>
    <row r="440" spans="1:4">
      <c r="A440" s="62" t="s">
        <v>595</v>
      </c>
      <c r="B440" s="62">
        <v>0</v>
      </c>
      <c r="C440" s="62">
        <v>0</v>
      </c>
      <c r="D440" s="62">
        <v>0</v>
      </c>
    </row>
    <row r="441" spans="1:4">
      <c r="A441" s="62" t="s">
        <v>596</v>
      </c>
      <c r="B441" s="62">
        <v>0</v>
      </c>
      <c r="C441" s="62">
        <v>0</v>
      </c>
      <c r="D441" s="62">
        <v>0</v>
      </c>
    </row>
    <row r="442" spans="1:4">
      <c r="A442" s="62" t="s">
        <v>597</v>
      </c>
      <c r="B442" s="62">
        <v>0</v>
      </c>
      <c r="C442" s="62">
        <v>0</v>
      </c>
      <c r="D442" s="62">
        <v>0</v>
      </c>
    </row>
    <row r="443" spans="1:4">
      <c r="A443" s="62" t="s">
        <v>598</v>
      </c>
      <c r="B443" s="62">
        <v>0</v>
      </c>
      <c r="C443" s="62">
        <v>0</v>
      </c>
      <c r="D443" s="62">
        <v>0</v>
      </c>
    </row>
    <row r="444" spans="1:4">
      <c r="A444" s="62" t="s">
        <v>599</v>
      </c>
      <c r="B444" s="62">
        <v>0</v>
      </c>
      <c r="C444" s="62">
        <v>0</v>
      </c>
      <c r="D444" s="62">
        <v>0</v>
      </c>
    </row>
    <row r="445" spans="1:4">
      <c r="A445" s="62" t="s">
        <v>600</v>
      </c>
      <c r="B445" s="62">
        <v>0</v>
      </c>
      <c r="C445" s="62">
        <v>0</v>
      </c>
      <c r="D445" s="62">
        <v>0</v>
      </c>
    </row>
    <row r="446" spans="1:4">
      <c r="A446" s="62" t="s">
        <v>601</v>
      </c>
      <c r="B446" s="62">
        <v>0</v>
      </c>
      <c r="C446" s="62">
        <v>0</v>
      </c>
      <c r="D446" s="62">
        <v>0</v>
      </c>
    </row>
    <row r="447" spans="1:4">
      <c r="A447" s="62" t="s">
        <v>602</v>
      </c>
      <c r="B447" s="62">
        <v>0</v>
      </c>
      <c r="C447" s="62">
        <v>0</v>
      </c>
      <c r="D447" s="62">
        <v>0</v>
      </c>
    </row>
    <row r="448" spans="1:4">
      <c r="A448" s="62" t="s">
        <v>603</v>
      </c>
      <c r="B448" s="62">
        <v>0</v>
      </c>
      <c r="C448" s="62">
        <v>0</v>
      </c>
      <c r="D448" s="62">
        <v>0</v>
      </c>
    </row>
    <row r="449" spans="1:4">
      <c r="A449" s="62" t="s">
        <v>604</v>
      </c>
      <c r="B449" s="62">
        <v>0</v>
      </c>
      <c r="C449" s="62">
        <v>0</v>
      </c>
      <c r="D449" s="62">
        <v>0</v>
      </c>
    </row>
    <row r="450" spans="1:4">
      <c r="A450" s="62" t="s">
        <v>605</v>
      </c>
      <c r="B450" s="62">
        <v>0</v>
      </c>
      <c r="C450" s="62">
        <v>0</v>
      </c>
      <c r="D450" s="62">
        <v>0</v>
      </c>
    </row>
    <row r="451" spans="1:4">
      <c r="A451" s="62" t="s">
        <v>606</v>
      </c>
      <c r="B451" s="62">
        <v>0</v>
      </c>
      <c r="C451" s="62">
        <v>0</v>
      </c>
      <c r="D451" s="62">
        <v>0</v>
      </c>
    </row>
    <row r="452" spans="1:4">
      <c r="A452" s="62" t="s">
        <v>607</v>
      </c>
      <c r="B452" s="62">
        <v>0</v>
      </c>
      <c r="C452" s="62">
        <v>0</v>
      </c>
      <c r="D452" s="62">
        <v>0</v>
      </c>
    </row>
    <row r="453" spans="1:4">
      <c r="A453" s="62" t="s">
        <v>608</v>
      </c>
      <c r="B453" s="62">
        <v>0</v>
      </c>
      <c r="C453" s="62">
        <v>0</v>
      </c>
      <c r="D453" s="62">
        <v>0</v>
      </c>
    </row>
    <row r="454" spans="1:4">
      <c r="A454" s="62" t="s">
        <v>609</v>
      </c>
      <c r="B454" s="62">
        <v>0</v>
      </c>
      <c r="C454" s="62">
        <v>0</v>
      </c>
      <c r="D454" s="62">
        <v>0</v>
      </c>
    </row>
    <row r="455" spans="1:4">
      <c r="A455" s="62" t="s">
        <v>610</v>
      </c>
      <c r="B455" s="62">
        <v>0</v>
      </c>
      <c r="C455" s="62">
        <v>0</v>
      </c>
      <c r="D455" s="62">
        <v>0</v>
      </c>
    </row>
    <row r="456" spans="1:4">
      <c r="A456" s="62" t="s">
        <v>611</v>
      </c>
      <c r="B456" s="62">
        <v>0</v>
      </c>
      <c r="C456" s="62">
        <v>0</v>
      </c>
      <c r="D456" s="62">
        <v>0</v>
      </c>
    </row>
    <row r="457" spans="1:4">
      <c r="A457" s="62" t="s">
        <v>612</v>
      </c>
      <c r="B457" s="62">
        <v>0</v>
      </c>
      <c r="C457" s="62">
        <v>0</v>
      </c>
      <c r="D457" s="62">
        <v>0</v>
      </c>
    </row>
    <row r="458" spans="1:4">
      <c r="A458" s="62" t="s">
        <v>613</v>
      </c>
      <c r="B458" s="62">
        <v>0</v>
      </c>
      <c r="C458" s="62">
        <v>0</v>
      </c>
      <c r="D458" s="62">
        <v>0</v>
      </c>
    </row>
    <row r="459" spans="1:4">
      <c r="A459" s="62" t="s">
        <v>614</v>
      </c>
      <c r="B459" s="62">
        <v>0</v>
      </c>
      <c r="C459" s="62">
        <v>0</v>
      </c>
      <c r="D459" s="62">
        <v>0</v>
      </c>
    </row>
    <row r="460" spans="1:4">
      <c r="A460" s="62" t="s">
        <v>615</v>
      </c>
      <c r="B460" s="62">
        <v>0</v>
      </c>
      <c r="C460" s="62">
        <v>0</v>
      </c>
      <c r="D460" s="62">
        <v>0</v>
      </c>
    </row>
    <row r="461" spans="1:4">
      <c r="A461" s="62" t="s">
        <v>616</v>
      </c>
      <c r="B461" s="62">
        <v>0</v>
      </c>
      <c r="C461" s="62">
        <v>0</v>
      </c>
      <c r="D461" s="62">
        <v>0</v>
      </c>
    </row>
    <row r="462" spans="1:4">
      <c r="A462" s="62" t="s">
        <v>617</v>
      </c>
      <c r="B462" s="62">
        <v>0</v>
      </c>
      <c r="C462" s="62">
        <v>0</v>
      </c>
      <c r="D462" s="62">
        <v>0</v>
      </c>
    </row>
    <row r="463" spans="1:4">
      <c r="A463" s="62" t="s">
        <v>618</v>
      </c>
      <c r="B463" s="62">
        <v>0</v>
      </c>
      <c r="C463" s="62">
        <v>0</v>
      </c>
      <c r="D463" s="62">
        <v>0</v>
      </c>
    </row>
    <row r="464" spans="1:4">
      <c r="A464" s="62" t="s">
        <v>619</v>
      </c>
      <c r="B464" s="62">
        <v>0</v>
      </c>
      <c r="C464" s="62">
        <v>0</v>
      </c>
      <c r="D464" s="62">
        <v>0</v>
      </c>
    </row>
    <row r="465" spans="1:4">
      <c r="A465" s="62" t="s">
        <v>620</v>
      </c>
      <c r="B465" s="62">
        <v>0</v>
      </c>
      <c r="C465" s="62">
        <v>0</v>
      </c>
      <c r="D465" s="62">
        <v>0</v>
      </c>
    </row>
    <row r="466" spans="1:4">
      <c r="A466" s="62" t="s">
        <v>621</v>
      </c>
      <c r="B466" s="62">
        <v>0</v>
      </c>
      <c r="C466" s="62">
        <v>0</v>
      </c>
      <c r="D466" s="62">
        <v>0</v>
      </c>
    </row>
    <row r="467" spans="1:4">
      <c r="A467" s="62" t="s">
        <v>622</v>
      </c>
      <c r="B467" s="62">
        <v>0</v>
      </c>
      <c r="C467" s="62">
        <v>0</v>
      </c>
      <c r="D467" s="62">
        <v>0</v>
      </c>
    </row>
    <row r="468" spans="1:4">
      <c r="A468" s="62" t="s">
        <v>623</v>
      </c>
      <c r="B468" s="62">
        <v>0</v>
      </c>
      <c r="C468" s="62">
        <v>0</v>
      </c>
      <c r="D468" s="62">
        <v>0</v>
      </c>
    </row>
    <row r="469" spans="1:4">
      <c r="A469" s="62" t="s">
        <v>624</v>
      </c>
      <c r="B469" s="62">
        <v>0</v>
      </c>
      <c r="C469" s="62">
        <v>0</v>
      </c>
      <c r="D469" s="62">
        <v>0</v>
      </c>
    </row>
    <row r="470" spans="1:4">
      <c r="A470" s="62" t="s">
        <v>625</v>
      </c>
      <c r="B470" s="62">
        <v>0</v>
      </c>
      <c r="C470" s="62">
        <v>0</v>
      </c>
      <c r="D470" s="62">
        <v>0</v>
      </c>
    </row>
    <row r="471" spans="1:4">
      <c r="A471" s="62" t="s">
        <v>626</v>
      </c>
      <c r="B471" s="62">
        <v>0</v>
      </c>
      <c r="C471" s="62">
        <v>0</v>
      </c>
      <c r="D471" s="62">
        <v>0</v>
      </c>
    </row>
    <row r="472" spans="1:4">
      <c r="A472" s="62" t="s">
        <v>627</v>
      </c>
      <c r="B472" s="62">
        <v>0</v>
      </c>
      <c r="C472" s="62">
        <v>0</v>
      </c>
      <c r="D472" s="62">
        <v>0</v>
      </c>
    </row>
    <row r="473" spans="1:4">
      <c r="A473" s="62" t="s">
        <v>628</v>
      </c>
      <c r="B473" s="62">
        <v>0</v>
      </c>
      <c r="C473" s="62">
        <v>0</v>
      </c>
      <c r="D473" s="62">
        <v>0</v>
      </c>
    </row>
    <row r="474" spans="1:4">
      <c r="A474" s="62" t="s">
        <v>629</v>
      </c>
      <c r="B474" s="62">
        <v>0</v>
      </c>
      <c r="C474" s="62">
        <v>0</v>
      </c>
      <c r="D474" s="62">
        <v>0</v>
      </c>
    </row>
    <row r="475" spans="1:4">
      <c r="A475" s="62" t="s">
        <v>630</v>
      </c>
      <c r="B475" s="62">
        <v>0</v>
      </c>
      <c r="C475" s="62">
        <v>0</v>
      </c>
      <c r="D475" s="62">
        <v>0</v>
      </c>
    </row>
    <row r="476" spans="1:4">
      <c r="A476" s="62" t="s">
        <v>631</v>
      </c>
      <c r="B476" s="62">
        <v>0</v>
      </c>
      <c r="C476" s="62">
        <v>0</v>
      </c>
      <c r="D476" s="62">
        <v>0</v>
      </c>
    </row>
    <row r="477" spans="1:4">
      <c r="A477" s="62" t="s">
        <v>632</v>
      </c>
      <c r="B477" s="62">
        <v>0</v>
      </c>
      <c r="C477" s="62">
        <v>0</v>
      </c>
      <c r="D477" s="62">
        <v>0</v>
      </c>
    </row>
    <row r="478" spans="1:4">
      <c r="A478" s="62" t="s">
        <v>633</v>
      </c>
      <c r="B478" s="62">
        <v>0</v>
      </c>
      <c r="C478" s="62">
        <v>0</v>
      </c>
      <c r="D478" s="62">
        <v>0</v>
      </c>
    </row>
    <row r="479" spans="1:4">
      <c r="A479" s="62" t="s">
        <v>634</v>
      </c>
      <c r="B479" s="62">
        <v>0</v>
      </c>
      <c r="C479" s="62">
        <v>0</v>
      </c>
      <c r="D479" s="62">
        <v>0</v>
      </c>
    </row>
    <row r="480" spans="1:4">
      <c r="A480" s="62" t="s">
        <v>635</v>
      </c>
      <c r="B480" s="62">
        <v>0</v>
      </c>
      <c r="C480" s="62">
        <v>0</v>
      </c>
      <c r="D480" s="62">
        <v>0</v>
      </c>
    </row>
    <row r="481" spans="1:4">
      <c r="A481" s="62" t="s">
        <v>636</v>
      </c>
      <c r="B481" s="62">
        <v>0</v>
      </c>
      <c r="C481" s="62">
        <v>0</v>
      </c>
      <c r="D481" s="62">
        <v>0</v>
      </c>
    </row>
    <row r="482" spans="1:4">
      <c r="A482" s="62" t="s">
        <v>637</v>
      </c>
      <c r="B482" s="62">
        <v>0</v>
      </c>
      <c r="C482" s="62">
        <v>0</v>
      </c>
      <c r="D482" s="62">
        <v>0</v>
      </c>
    </row>
    <row r="483" spans="1:4">
      <c r="A483" s="62" t="s">
        <v>638</v>
      </c>
      <c r="B483" s="62">
        <v>0</v>
      </c>
      <c r="C483" s="62">
        <v>0</v>
      </c>
      <c r="D483" s="62">
        <v>0</v>
      </c>
    </row>
    <row r="484" spans="1:4">
      <c r="A484" s="62" t="s">
        <v>639</v>
      </c>
      <c r="B484" s="62">
        <v>0</v>
      </c>
      <c r="C484" s="62">
        <v>0</v>
      </c>
      <c r="D484" s="62">
        <v>0</v>
      </c>
    </row>
    <row r="485" spans="1:4">
      <c r="A485" s="62" t="s">
        <v>640</v>
      </c>
      <c r="B485" s="62">
        <v>0</v>
      </c>
      <c r="C485" s="62">
        <v>0</v>
      </c>
      <c r="D485" s="62">
        <v>0</v>
      </c>
    </row>
    <row r="486" spans="1:4">
      <c r="A486" s="62" t="s">
        <v>641</v>
      </c>
      <c r="B486" s="62">
        <v>0</v>
      </c>
      <c r="C486" s="62">
        <v>0</v>
      </c>
      <c r="D486" s="62">
        <v>0</v>
      </c>
    </row>
    <row r="487" spans="1:4">
      <c r="A487" s="62" t="s">
        <v>642</v>
      </c>
      <c r="B487" s="62">
        <v>0</v>
      </c>
      <c r="C487" s="62">
        <v>0</v>
      </c>
      <c r="D487" s="62">
        <v>0</v>
      </c>
    </row>
    <row r="488" spans="1:4">
      <c r="A488" s="62" t="s">
        <v>643</v>
      </c>
      <c r="B488" s="62">
        <v>0</v>
      </c>
      <c r="C488" s="62">
        <v>0</v>
      </c>
      <c r="D488" s="62">
        <v>0</v>
      </c>
    </row>
    <row r="489" spans="1:4">
      <c r="A489" s="62" t="s">
        <v>644</v>
      </c>
      <c r="B489" s="62">
        <v>0</v>
      </c>
      <c r="C489" s="62">
        <v>0</v>
      </c>
      <c r="D489" s="62">
        <v>0</v>
      </c>
    </row>
    <row r="490" spans="1:4">
      <c r="A490" s="62" t="s">
        <v>645</v>
      </c>
      <c r="B490" s="62">
        <v>0</v>
      </c>
      <c r="C490" s="62">
        <v>0</v>
      </c>
      <c r="D490" s="62">
        <v>0</v>
      </c>
    </row>
    <row r="491" spans="1:4">
      <c r="A491" s="62" t="s">
        <v>646</v>
      </c>
      <c r="B491" s="62">
        <v>0</v>
      </c>
      <c r="C491" s="62">
        <v>0</v>
      </c>
      <c r="D491" s="62">
        <v>0</v>
      </c>
    </row>
    <row r="492" spans="1:4">
      <c r="A492" s="62" t="s">
        <v>647</v>
      </c>
      <c r="B492" s="62">
        <v>0</v>
      </c>
      <c r="C492" s="62">
        <v>0</v>
      </c>
      <c r="D492" s="62">
        <v>0</v>
      </c>
    </row>
    <row r="493" spans="1:4">
      <c r="A493" s="62" t="s">
        <v>648</v>
      </c>
      <c r="B493" s="62">
        <v>0</v>
      </c>
      <c r="C493" s="62">
        <v>0</v>
      </c>
      <c r="D493" s="62">
        <v>0</v>
      </c>
    </row>
    <row r="494" spans="1:4">
      <c r="A494" s="62" t="s">
        <v>649</v>
      </c>
      <c r="B494" s="62">
        <v>0</v>
      </c>
      <c r="C494" s="62">
        <v>0</v>
      </c>
      <c r="D494" s="62">
        <v>0</v>
      </c>
    </row>
    <row r="495" spans="1:4">
      <c r="A495" s="62" t="s">
        <v>650</v>
      </c>
      <c r="B495" s="62">
        <v>0</v>
      </c>
      <c r="C495" s="62">
        <v>0</v>
      </c>
      <c r="D495" s="62">
        <v>0</v>
      </c>
    </row>
    <row r="496" spans="1:4">
      <c r="A496" s="62" t="s">
        <v>651</v>
      </c>
      <c r="B496" s="62">
        <v>0</v>
      </c>
      <c r="C496" s="62">
        <v>0</v>
      </c>
      <c r="D496" s="62">
        <v>0</v>
      </c>
    </row>
    <row r="497" spans="1:4">
      <c r="A497" s="62" t="s">
        <v>652</v>
      </c>
      <c r="B497" s="62">
        <v>0</v>
      </c>
      <c r="C497" s="62">
        <v>0</v>
      </c>
      <c r="D497" s="62">
        <v>0</v>
      </c>
    </row>
    <row r="498" spans="1:4">
      <c r="A498" s="62" t="s">
        <v>653</v>
      </c>
      <c r="B498" s="62">
        <v>0</v>
      </c>
      <c r="C498" s="62">
        <v>0</v>
      </c>
      <c r="D498" s="62">
        <v>0</v>
      </c>
    </row>
    <row r="499" spans="1:4">
      <c r="A499" s="62" t="s">
        <v>654</v>
      </c>
      <c r="B499" s="62">
        <v>0</v>
      </c>
      <c r="C499" s="62">
        <v>0</v>
      </c>
      <c r="D499" s="62">
        <v>0</v>
      </c>
    </row>
    <row r="500" spans="1:4">
      <c r="A500" s="62" t="s">
        <v>655</v>
      </c>
      <c r="B500" s="62">
        <v>0</v>
      </c>
      <c r="C500" s="62">
        <v>0</v>
      </c>
      <c r="D500" s="62">
        <v>0</v>
      </c>
    </row>
    <row r="501" spans="1:4">
      <c r="A501" s="62" t="s">
        <v>656</v>
      </c>
      <c r="B501" s="62">
        <v>0</v>
      </c>
      <c r="C501" s="62">
        <v>0</v>
      </c>
      <c r="D501" s="62">
        <v>0</v>
      </c>
    </row>
    <row r="502" spans="1:4">
      <c r="A502" s="62" t="s">
        <v>657</v>
      </c>
      <c r="B502" s="62">
        <v>0</v>
      </c>
      <c r="C502" s="62">
        <v>0</v>
      </c>
      <c r="D502" s="62">
        <v>0</v>
      </c>
    </row>
    <row r="503" spans="1:4">
      <c r="A503" s="62" t="s">
        <v>658</v>
      </c>
      <c r="B503" s="62">
        <v>0</v>
      </c>
      <c r="C503" s="62">
        <v>0</v>
      </c>
      <c r="D503" s="62">
        <v>0</v>
      </c>
    </row>
    <row r="504" spans="1:4">
      <c r="A504" s="62" t="s">
        <v>659</v>
      </c>
      <c r="B504" s="62">
        <v>0</v>
      </c>
      <c r="C504" s="62">
        <v>0</v>
      </c>
      <c r="D504" s="62">
        <v>0</v>
      </c>
    </row>
    <row r="505" spans="1:4">
      <c r="A505" s="62" t="s">
        <v>660</v>
      </c>
      <c r="B505" s="62">
        <v>0</v>
      </c>
      <c r="C505" s="62">
        <v>0</v>
      </c>
      <c r="D505" s="62">
        <v>0</v>
      </c>
    </row>
    <row r="506" spans="1:4">
      <c r="A506" s="62" t="s">
        <v>661</v>
      </c>
      <c r="B506" s="62">
        <v>0</v>
      </c>
      <c r="C506" s="62">
        <v>0</v>
      </c>
      <c r="D506" s="62">
        <v>0</v>
      </c>
    </row>
    <row r="507" spans="1:4">
      <c r="A507" s="62" t="s">
        <v>662</v>
      </c>
      <c r="B507" s="62">
        <v>0</v>
      </c>
      <c r="C507" s="62">
        <v>0</v>
      </c>
      <c r="D507" s="62">
        <v>0</v>
      </c>
    </row>
    <row r="508" spans="1:4">
      <c r="A508" s="62" t="s">
        <v>663</v>
      </c>
      <c r="B508" s="62">
        <v>0</v>
      </c>
      <c r="C508" s="62">
        <v>0</v>
      </c>
      <c r="D508" s="62">
        <v>0</v>
      </c>
    </row>
    <row r="509" spans="1:4">
      <c r="A509" s="62" t="s">
        <v>664</v>
      </c>
      <c r="B509" s="62">
        <v>0</v>
      </c>
      <c r="C509" s="62">
        <v>0</v>
      </c>
      <c r="D509" s="62">
        <v>0</v>
      </c>
    </row>
    <row r="510" spans="1:4">
      <c r="A510" s="62" t="s">
        <v>665</v>
      </c>
      <c r="B510" s="62">
        <v>0</v>
      </c>
      <c r="C510" s="62">
        <v>0</v>
      </c>
      <c r="D510" s="62">
        <v>0</v>
      </c>
    </row>
    <row r="511" spans="1:4">
      <c r="A511" s="62" t="s">
        <v>666</v>
      </c>
      <c r="B511" s="62">
        <v>0</v>
      </c>
      <c r="C511" s="62">
        <v>0</v>
      </c>
      <c r="D511" s="62">
        <v>0</v>
      </c>
    </row>
    <row r="512" spans="1:4">
      <c r="A512" s="62" t="s">
        <v>667</v>
      </c>
      <c r="B512" s="62">
        <v>0</v>
      </c>
      <c r="C512" s="62">
        <v>0</v>
      </c>
      <c r="D512" s="62">
        <v>0</v>
      </c>
    </row>
    <row r="513" spans="1:4">
      <c r="A513" s="62" t="s">
        <v>668</v>
      </c>
      <c r="B513" s="62">
        <v>0</v>
      </c>
      <c r="C513" s="62">
        <v>0</v>
      </c>
      <c r="D513" s="62">
        <v>0</v>
      </c>
    </row>
    <row r="514" spans="1:4">
      <c r="A514" s="62" t="s">
        <v>669</v>
      </c>
      <c r="B514" s="62">
        <v>0</v>
      </c>
      <c r="C514" s="62">
        <v>0</v>
      </c>
      <c r="D514" s="62">
        <v>0</v>
      </c>
    </row>
    <row r="515" spans="1:4">
      <c r="A515" s="62" t="s">
        <v>670</v>
      </c>
      <c r="B515" s="62">
        <v>0</v>
      </c>
      <c r="C515" s="62">
        <v>0</v>
      </c>
      <c r="D515" s="62">
        <v>0</v>
      </c>
    </row>
    <row r="516" spans="1:4">
      <c r="A516" s="62" t="s">
        <v>671</v>
      </c>
      <c r="B516" s="62">
        <v>0</v>
      </c>
      <c r="C516" s="62">
        <v>0</v>
      </c>
      <c r="D516" s="62">
        <v>0</v>
      </c>
    </row>
    <row r="517" spans="1:4">
      <c r="A517" s="62" t="s">
        <v>672</v>
      </c>
      <c r="B517" s="62">
        <v>0</v>
      </c>
      <c r="C517" s="62">
        <v>0</v>
      </c>
      <c r="D517" s="62">
        <v>0</v>
      </c>
    </row>
    <row r="518" spans="1:4">
      <c r="A518" s="62" t="s">
        <v>673</v>
      </c>
      <c r="B518" s="62">
        <v>0</v>
      </c>
      <c r="C518" s="62">
        <v>0</v>
      </c>
      <c r="D518" s="62">
        <v>0</v>
      </c>
    </row>
    <row r="519" spans="1:4">
      <c r="A519" s="62" t="s">
        <v>674</v>
      </c>
      <c r="B519" s="62">
        <v>0</v>
      </c>
      <c r="C519" s="62">
        <v>0</v>
      </c>
      <c r="D519" s="62">
        <v>0</v>
      </c>
    </row>
    <row r="520" spans="1:4">
      <c r="A520" s="62" t="s">
        <v>675</v>
      </c>
      <c r="B520" s="62">
        <v>0</v>
      </c>
      <c r="C520" s="62">
        <v>0</v>
      </c>
      <c r="D520" s="62">
        <v>0</v>
      </c>
    </row>
    <row r="521" spans="1:4">
      <c r="A521" s="62" t="s">
        <v>676</v>
      </c>
      <c r="B521" s="62">
        <v>0</v>
      </c>
      <c r="C521" s="62">
        <v>0</v>
      </c>
      <c r="D521" s="62">
        <v>0</v>
      </c>
    </row>
    <row r="522" spans="1:4">
      <c r="A522" s="62" t="s">
        <v>677</v>
      </c>
      <c r="B522" s="62">
        <v>0</v>
      </c>
      <c r="C522" s="62">
        <v>0</v>
      </c>
      <c r="D522" s="62">
        <v>0</v>
      </c>
    </row>
    <row r="523" spans="1:4">
      <c r="A523" s="62" t="s">
        <v>678</v>
      </c>
      <c r="B523" s="62">
        <v>0</v>
      </c>
      <c r="C523" s="62">
        <v>0</v>
      </c>
      <c r="D523" s="62">
        <v>0</v>
      </c>
    </row>
    <row r="524" spans="1:4">
      <c r="A524" s="62" t="s">
        <v>679</v>
      </c>
      <c r="B524" s="62">
        <v>0</v>
      </c>
      <c r="C524" s="62">
        <v>0</v>
      </c>
      <c r="D524" s="62">
        <v>0</v>
      </c>
    </row>
    <row r="525" spans="1:4">
      <c r="A525" s="62" t="s">
        <v>680</v>
      </c>
      <c r="B525" s="62">
        <v>0</v>
      </c>
      <c r="C525" s="62">
        <v>0</v>
      </c>
      <c r="D525" s="62">
        <v>0</v>
      </c>
    </row>
    <row r="526" spans="1:4">
      <c r="A526" s="62" t="s">
        <v>681</v>
      </c>
      <c r="B526" s="62">
        <v>0</v>
      </c>
      <c r="C526" s="62">
        <v>0</v>
      </c>
      <c r="D526" s="62">
        <v>0</v>
      </c>
    </row>
    <row r="527" spans="1:4">
      <c r="A527" s="62" t="s">
        <v>682</v>
      </c>
      <c r="B527" s="62">
        <v>0</v>
      </c>
      <c r="C527" s="62">
        <v>0</v>
      </c>
      <c r="D527" s="62">
        <v>0</v>
      </c>
    </row>
    <row r="528" spans="1:4">
      <c r="A528" s="62" t="s">
        <v>683</v>
      </c>
      <c r="B528" s="62">
        <v>0</v>
      </c>
      <c r="C528" s="62">
        <v>0</v>
      </c>
      <c r="D528" s="62">
        <v>0</v>
      </c>
    </row>
    <row r="529" spans="1:4">
      <c r="A529" s="62" t="s">
        <v>684</v>
      </c>
      <c r="B529" s="62">
        <v>0</v>
      </c>
      <c r="C529" s="62">
        <v>0</v>
      </c>
      <c r="D529" s="62">
        <v>0</v>
      </c>
    </row>
    <row r="530" spans="1:4">
      <c r="A530" s="62" t="s">
        <v>685</v>
      </c>
      <c r="B530" s="62">
        <v>0</v>
      </c>
      <c r="C530" s="62">
        <v>0</v>
      </c>
      <c r="D530" s="62">
        <v>0</v>
      </c>
    </row>
    <row r="531" spans="1:4">
      <c r="A531" s="62" t="s">
        <v>686</v>
      </c>
      <c r="B531" s="62">
        <v>0</v>
      </c>
      <c r="C531" s="62">
        <v>0</v>
      </c>
      <c r="D531" s="62">
        <v>0</v>
      </c>
    </row>
    <row r="532" spans="1:4">
      <c r="A532" s="62" t="s">
        <v>687</v>
      </c>
      <c r="B532" s="62">
        <v>0</v>
      </c>
      <c r="C532" s="62">
        <v>0</v>
      </c>
      <c r="D532" s="62">
        <v>0</v>
      </c>
    </row>
    <row r="533" spans="1:4">
      <c r="A533" s="62" t="s">
        <v>688</v>
      </c>
      <c r="B533" s="62">
        <v>0</v>
      </c>
      <c r="C533" s="62">
        <v>0</v>
      </c>
      <c r="D533" s="62">
        <v>0</v>
      </c>
    </row>
    <row r="534" spans="1:4">
      <c r="A534" s="62" t="s">
        <v>689</v>
      </c>
      <c r="B534" s="62">
        <v>0</v>
      </c>
      <c r="C534" s="62">
        <v>0</v>
      </c>
      <c r="D534" s="62">
        <v>0</v>
      </c>
    </row>
    <row r="535" spans="1:4">
      <c r="A535" s="62" t="s">
        <v>690</v>
      </c>
      <c r="B535" s="62">
        <v>0</v>
      </c>
      <c r="C535" s="62">
        <v>0</v>
      </c>
      <c r="D535" s="62">
        <v>0</v>
      </c>
    </row>
    <row r="536" spans="1:4">
      <c r="A536" s="62" t="s">
        <v>691</v>
      </c>
      <c r="B536" s="62">
        <v>0</v>
      </c>
      <c r="C536" s="62">
        <v>0</v>
      </c>
      <c r="D536" s="62">
        <v>0</v>
      </c>
    </row>
    <row r="537" spans="1:4">
      <c r="A537" s="62" t="s">
        <v>692</v>
      </c>
      <c r="B537" s="62">
        <v>0</v>
      </c>
      <c r="C537" s="62">
        <v>0</v>
      </c>
      <c r="D537" s="62">
        <v>0</v>
      </c>
    </row>
    <row r="538" spans="1:4">
      <c r="A538" s="62" t="s">
        <v>693</v>
      </c>
      <c r="B538" s="62">
        <v>0</v>
      </c>
      <c r="C538" s="62">
        <v>0</v>
      </c>
      <c r="D538" s="62">
        <v>0</v>
      </c>
    </row>
    <row r="539" spans="1:4">
      <c r="A539" s="62" t="s">
        <v>694</v>
      </c>
      <c r="B539" s="62">
        <v>0</v>
      </c>
      <c r="C539" s="62">
        <v>0</v>
      </c>
      <c r="D539" s="62">
        <v>0</v>
      </c>
    </row>
    <row r="540" spans="1:4">
      <c r="A540" s="62" t="s">
        <v>695</v>
      </c>
      <c r="B540" s="62">
        <v>0</v>
      </c>
      <c r="C540" s="62">
        <v>0</v>
      </c>
      <c r="D540" s="62">
        <v>0</v>
      </c>
    </row>
    <row r="541" spans="1:4">
      <c r="A541" s="62" t="s">
        <v>696</v>
      </c>
      <c r="B541" s="62">
        <v>0</v>
      </c>
      <c r="C541" s="62">
        <v>0</v>
      </c>
      <c r="D541" s="62">
        <v>0</v>
      </c>
    </row>
    <row r="542" spans="1:4">
      <c r="A542" s="62" t="s">
        <v>697</v>
      </c>
      <c r="B542" s="62">
        <v>0</v>
      </c>
      <c r="C542" s="62">
        <v>0</v>
      </c>
      <c r="D542" s="62">
        <v>0</v>
      </c>
    </row>
    <row r="543" spans="1:4">
      <c r="A543" s="62" t="s">
        <v>698</v>
      </c>
      <c r="B543" s="62">
        <v>0</v>
      </c>
      <c r="C543" s="62">
        <v>0</v>
      </c>
      <c r="D543" s="62">
        <v>0</v>
      </c>
    </row>
    <row r="544" spans="1:4">
      <c r="A544" s="62" t="s">
        <v>699</v>
      </c>
      <c r="B544" s="62">
        <v>0</v>
      </c>
      <c r="C544" s="62">
        <v>0</v>
      </c>
      <c r="D544" s="62">
        <v>0</v>
      </c>
    </row>
    <row r="545" spans="1:4">
      <c r="A545" s="62" t="s">
        <v>700</v>
      </c>
      <c r="B545" s="62">
        <v>0</v>
      </c>
      <c r="C545" s="62">
        <v>0</v>
      </c>
      <c r="D545" s="62">
        <v>0</v>
      </c>
    </row>
    <row r="546" spans="1:4">
      <c r="A546" s="62" t="s">
        <v>701</v>
      </c>
      <c r="B546" s="62">
        <v>0</v>
      </c>
      <c r="C546" s="62">
        <v>0</v>
      </c>
      <c r="D546" s="62">
        <v>0</v>
      </c>
    </row>
    <row r="547" spans="1:4">
      <c r="A547" s="62" t="s">
        <v>702</v>
      </c>
      <c r="B547" s="62">
        <v>0</v>
      </c>
      <c r="C547" s="62">
        <v>0</v>
      </c>
      <c r="D547" s="62">
        <v>0</v>
      </c>
    </row>
    <row r="548" spans="1:4">
      <c r="A548" s="62" t="s">
        <v>703</v>
      </c>
      <c r="B548" s="62">
        <v>0</v>
      </c>
      <c r="C548" s="62">
        <v>0</v>
      </c>
      <c r="D548" s="62">
        <v>0</v>
      </c>
    </row>
    <row r="549" spans="1:4">
      <c r="A549" s="62" t="s">
        <v>704</v>
      </c>
      <c r="B549" s="62">
        <v>0</v>
      </c>
      <c r="C549" s="62">
        <v>0</v>
      </c>
      <c r="D549" s="62">
        <v>0</v>
      </c>
    </row>
    <row r="550" spans="1:4">
      <c r="A550" s="62" t="s">
        <v>705</v>
      </c>
      <c r="B550" s="62">
        <v>0</v>
      </c>
      <c r="C550" s="62">
        <v>0</v>
      </c>
      <c r="D550" s="62">
        <v>0</v>
      </c>
    </row>
    <row r="551" spans="1:4">
      <c r="A551" s="62" t="s">
        <v>706</v>
      </c>
      <c r="B551" s="62">
        <v>0</v>
      </c>
      <c r="C551" s="62">
        <v>0</v>
      </c>
      <c r="D551" s="62">
        <v>0</v>
      </c>
    </row>
    <row r="552" spans="1:4">
      <c r="A552" s="62" t="s">
        <v>707</v>
      </c>
      <c r="B552" s="62">
        <v>0</v>
      </c>
      <c r="C552" s="62">
        <v>0</v>
      </c>
      <c r="D552" s="62">
        <v>0</v>
      </c>
    </row>
    <row r="553" spans="1:4">
      <c r="A553" s="62" t="s">
        <v>708</v>
      </c>
      <c r="B553" s="62">
        <v>0</v>
      </c>
      <c r="C553" s="62">
        <v>0</v>
      </c>
      <c r="D553" s="62">
        <v>0</v>
      </c>
    </row>
    <row r="554" spans="1:4">
      <c r="A554" s="62" t="s">
        <v>709</v>
      </c>
      <c r="B554" s="62">
        <v>0</v>
      </c>
      <c r="C554" s="62">
        <v>0</v>
      </c>
      <c r="D554" s="62">
        <v>0</v>
      </c>
    </row>
    <row r="555" spans="1:4">
      <c r="A555" s="62" t="s">
        <v>710</v>
      </c>
      <c r="B555" s="62">
        <v>0</v>
      </c>
      <c r="C555" s="62">
        <v>0</v>
      </c>
      <c r="D555" s="62">
        <v>0</v>
      </c>
    </row>
    <row r="556" spans="1:4">
      <c r="A556" s="62" t="s">
        <v>711</v>
      </c>
      <c r="B556" s="62">
        <v>0</v>
      </c>
      <c r="C556" s="62">
        <v>0</v>
      </c>
      <c r="D556" s="62">
        <v>0</v>
      </c>
    </row>
    <row r="557" spans="1:4">
      <c r="A557" s="62" t="s">
        <v>712</v>
      </c>
      <c r="B557" s="62">
        <v>0</v>
      </c>
      <c r="C557" s="62">
        <v>0</v>
      </c>
      <c r="D557" s="62">
        <v>0</v>
      </c>
    </row>
    <row r="558" spans="1:4">
      <c r="A558" s="62" t="s">
        <v>713</v>
      </c>
      <c r="B558" s="62">
        <v>0</v>
      </c>
      <c r="C558" s="62">
        <v>0</v>
      </c>
      <c r="D558" s="62">
        <v>0</v>
      </c>
    </row>
    <row r="559" spans="1:4">
      <c r="A559" s="62" t="s">
        <v>714</v>
      </c>
      <c r="B559" s="62">
        <v>0</v>
      </c>
      <c r="C559" s="62">
        <v>0</v>
      </c>
      <c r="D559" s="62">
        <v>0</v>
      </c>
    </row>
    <row r="560" spans="1:4">
      <c r="A560" s="62" t="s">
        <v>715</v>
      </c>
      <c r="B560" s="62">
        <v>0</v>
      </c>
      <c r="C560" s="62">
        <v>0</v>
      </c>
      <c r="D560" s="62">
        <v>0</v>
      </c>
    </row>
    <row r="561" spans="1:4">
      <c r="A561" s="62" t="s">
        <v>716</v>
      </c>
      <c r="B561" s="62">
        <v>0</v>
      </c>
      <c r="C561" s="62">
        <v>0</v>
      </c>
      <c r="D561" s="62">
        <v>0</v>
      </c>
    </row>
    <row r="562" spans="1:4">
      <c r="A562" s="62" t="s">
        <v>717</v>
      </c>
      <c r="B562" s="62">
        <v>0</v>
      </c>
      <c r="C562" s="62">
        <v>0</v>
      </c>
      <c r="D562" s="62">
        <v>0</v>
      </c>
    </row>
    <row r="563" spans="1:4">
      <c r="A563" s="62" t="s">
        <v>718</v>
      </c>
      <c r="B563" s="62">
        <v>0</v>
      </c>
      <c r="C563" s="62">
        <v>0</v>
      </c>
      <c r="D563" s="62">
        <v>0</v>
      </c>
    </row>
    <row r="564" spans="1:4">
      <c r="A564" s="62" t="s">
        <v>719</v>
      </c>
      <c r="B564" s="62">
        <v>0</v>
      </c>
      <c r="C564" s="62">
        <v>0</v>
      </c>
      <c r="D564" s="62">
        <v>0</v>
      </c>
    </row>
    <row r="565" spans="1:4">
      <c r="A565" s="62" t="s">
        <v>720</v>
      </c>
      <c r="B565" s="62">
        <v>0</v>
      </c>
      <c r="C565" s="62">
        <v>0</v>
      </c>
      <c r="D565" s="62">
        <v>0</v>
      </c>
    </row>
    <row r="566" spans="1:4">
      <c r="A566" s="62" t="s">
        <v>721</v>
      </c>
      <c r="B566" s="62">
        <v>0</v>
      </c>
      <c r="C566" s="62">
        <v>0</v>
      </c>
      <c r="D566" s="62">
        <v>0</v>
      </c>
    </row>
    <row r="567" spans="1:4">
      <c r="A567" s="62" t="s">
        <v>722</v>
      </c>
      <c r="B567" s="62">
        <v>0</v>
      </c>
      <c r="C567" s="62">
        <v>0</v>
      </c>
      <c r="D567" s="62">
        <v>0</v>
      </c>
    </row>
    <row r="568" spans="1:4">
      <c r="A568" s="62" t="s">
        <v>723</v>
      </c>
      <c r="B568" s="62">
        <v>0</v>
      </c>
      <c r="C568" s="62">
        <v>0</v>
      </c>
      <c r="D568" s="62">
        <v>0</v>
      </c>
    </row>
    <row r="569" spans="1:4">
      <c r="A569" s="62" t="s">
        <v>724</v>
      </c>
      <c r="B569" s="62">
        <v>0</v>
      </c>
      <c r="C569" s="62">
        <v>0</v>
      </c>
      <c r="D569" s="62">
        <v>0</v>
      </c>
    </row>
    <row r="570" spans="1:4">
      <c r="A570" s="62" t="s">
        <v>725</v>
      </c>
      <c r="B570" s="62">
        <v>0</v>
      </c>
      <c r="C570" s="62">
        <v>0</v>
      </c>
      <c r="D570" s="62">
        <v>0</v>
      </c>
    </row>
    <row r="571" spans="1:4">
      <c r="A571" s="62" t="s">
        <v>726</v>
      </c>
      <c r="B571" s="62">
        <v>0</v>
      </c>
      <c r="C571" s="62">
        <v>0</v>
      </c>
      <c r="D571" s="62">
        <v>0</v>
      </c>
    </row>
    <row r="572" spans="1:4">
      <c r="A572" s="62" t="s">
        <v>727</v>
      </c>
      <c r="B572" s="62">
        <v>0</v>
      </c>
      <c r="C572" s="62">
        <v>0</v>
      </c>
      <c r="D572" s="62">
        <v>0</v>
      </c>
    </row>
    <row r="573" spans="1:4">
      <c r="A573" s="62" t="s">
        <v>728</v>
      </c>
      <c r="B573" s="62">
        <v>0</v>
      </c>
      <c r="C573" s="62">
        <v>0</v>
      </c>
      <c r="D573" s="62">
        <v>0</v>
      </c>
    </row>
    <row r="574" spans="1:4">
      <c r="A574" s="62" t="s">
        <v>729</v>
      </c>
      <c r="B574" s="62">
        <v>0</v>
      </c>
      <c r="C574" s="62">
        <v>0</v>
      </c>
      <c r="D574" s="62">
        <v>0</v>
      </c>
    </row>
    <row r="575" spans="1:4">
      <c r="A575" s="62" t="s">
        <v>730</v>
      </c>
      <c r="B575" s="62">
        <v>0</v>
      </c>
      <c r="C575" s="62">
        <v>0</v>
      </c>
      <c r="D575" s="62">
        <v>0</v>
      </c>
    </row>
    <row r="576" spans="1:4">
      <c r="A576" s="62" t="s">
        <v>731</v>
      </c>
      <c r="B576" s="62">
        <v>0</v>
      </c>
      <c r="C576" s="62">
        <v>0</v>
      </c>
      <c r="D576" s="62">
        <v>0</v>
      </c>
    </row>
    <row r="577" spans="1:4">
      <c r="A577" s="62" t="s">
        <v>732</v>
      </c>
      <c r="B577" s="62">
        <v>0</v>
      </c>
      <c r="C577" s="62">
        <v>0</v>
      </c>
      <c r="D577" s="62">
        <v>0</v>
      </c>
    </row>
    <row r="578" spans="1:4">
      <c r="A578" s="62" t="s">
        <v>733</v>
      </c>
      <c r="B578" s="62">
        <v>0</v>
      </c>
      <c r="C578" s="62">
        <v>0</v>
      </c>
      <c r="D578" s="62">
        <v>0</v>
      </c>
    </row>
    <row r="579" spans="1:4">
      <c r="A579" s="62" t="s">
        <v>734</v>
      </c>
      <c r="B579" s="62">
        <v>0</v>
      </c>
      <c r="C579" s="62">
        <v>0</v>
      </c>
      <c r="D579" s="62">
        <v>0</v>
      </c>
    </row>
    <row r="580" spans="1:4">
      <c r="A580" s="62" t="s">
        <v>735</v>
      </c>
      <c r="B580" s="62">
        <v>0</v>
      </c>
      <c r="C580" s="62">
        <v>0</v>
      </c>
      <c r="D580" s="62">
        <v>0</v>
      </c>
    </row>
    <row r="581" spans="1:4">
      <c r="A581" s="62" t="s">
        <v>736</v>
      </c>
      <c r="B581" s="62">
        <v>0</v>
      </c>
      <c r="C581" s="62">
        <v>0</v>
      </c>
      <c r="D581" s="62">
        <v>0</v>
      </c>
    </row>
    <row r="582" spans="1:4">
      <c r="A582" s="62" t="s">
        <v>737</v>
      </c>
      <c r="B582" s="62">
        <v>0</v>
      </c>
      <c r="C582" s="62">
        <v>0</v>
      </c>
      <c r="D582" s="62">
        <v>0</v>
      </c>
    </row>
    <row r="583" spans="1:4">
      <c r="A583" s="62" t="s">
        <v>738</v>
      </c>
      <c r="B583" s="62">
        <v>0</v>
      </c>
      <c r="C583" s="62">
        <v>0</v>
      </c>
      <c r="D583" s="62">
        <v>0</v>
      </c>
    </row>
    <row r="584" spans="1:4">
      <c r="A584" s="62" t="s">
        <v>739</v>
      </c>
      <c r="B584" s="62">
        <v>0</v>
      </c>
      <c r="C584" s="62">
        <v>0</v>
      </c>
      <c r="D584" s="62">
        <v>0</v>
      </c>
    </row>
    <row r="585" spans="1:4">
      <c r="A585" s="62" t="s">
        <v>740</v>
      </c>
      <c r="B585" s="62">
        <v>0</v>
      </c>
      <c r="C585" s="62">
        <v>0</v>
      </c>
      <c r="D585" s="62">
        <v>0</v>
      </c>
    </row>
    <row r="586" spans="1:4">
      <c r="A586" s="62" t="s">
        <v>741</v>
      </c>
      <c r="B586" s="62">
        <v>0</v>
      </c>
      <c r="C586" s="62">
        <v>0</v>
      </c>
      <c r="D586" s="62">
        <v>0</v>
      </c>
    </row>
    <row r="587" spans="1:4">
      <c r="A587" s="62" t="s">
        <v>742</v>
      </c>
      <c r="B587" s="62">
        <v>0</v>
      </c>
      <c r="C587" s="62">
        <v>0</v>
      </c>
      <c r="D587" s="62">
        <v>0</v>
      </c>
    </row>
    <row r="588" spans="1:4">
      <c r="A588" s="62" t="s">
        <v>743</v>
      </c>
      <c r="B588" s="62">
        <v>0</v>
      </c>
      <c r="C588" s="62">
        <v>0</v>
      </c>
      <c r="D588" s="62">
        <v>0</v>
      </c>
    </row>
    <row r="589" spans="1:4">
      <c r="A589" s="62" t="s">
        <v>744</v>
      </c>
      <c r="B589" s="62">
        <v>0</v>
      </c>
      <c r="C589" s="62">
        <v>0</v>
      </c>
      <c r="D589" s="62">
        <v>0</v>
      </c>
    </row>
    <row r="590" spans="1:4">
      <c r="A590" s="62" t="s">
        <v>745</v>
      </c>
      <c r="B590" s="62">
        <v>0</v>
      </c>
      <c r="C590" s="62">
        <v>0</v>
      </c>
      <c r="D590" s="62">
        <v>0</v>
      </c>
    </row>
    <row r="591" spans="1:4">
      <c r="A591" s="62" t="s">
        <v>746</v>
      </c>
      <c r="B591" s="62">
        <v>0</v>
      </c>
      <c r="C591" s="62">
        <v>0</v>
      </c>
      <c r="D591" s="62">
        <v>0</v>
      </c>
    </row>
    <row r="592" spans="1:4">
      <c r="A592" s="62" t="s">
        <v>747</v>
      </c>
      <c r="B592" s="62">
        <v>0</v>
      </c>
      <c r="C592" s="62">
        <v>0</v>
      </c>
      <c r="D592" s="62">
        <v>0</v>
      </c>
    </row>
    <row r="593" spans="1:4">
      <c r="A593" s="62" t="s">
        <v>748</v>
      </c>
      <c r="B593" s="62">
        <v>0</v>
      </c>
      <c r="C593" s="62">
        <v>0</v>
      </c>
      <c r="D593" s="62">
        <v>0</v>
      </c>
    </row>
    <row r="594" spans="1:4">
      <c r="A594" s="62" t="s">
        <v>749</v>
      </c>
      <c r="B594" s="62">
        <v>0</v>
      </c>
      <c r="C594" s="62">
        <v>0</v>
      </c>
      <c r="D594" s="62">
        <v>0</v>
      </c>
    </row>
    <row r="595" spans="1:4">
      <c r="A595" s="62" t="s">
        <v>750</v>
      </c>
      <c r="B595" s="62">
        <v>0</v>
      </c>
      <c r="C595" s="62">
        <v>0</v>
      </c>
      <c r="D595" s="62">
        <v>0</v>
      </c>
    </row>
    <row r="596" spans="1:4">
      <c r="A596" s="62" t="s">
        <v>751</v>
      </c>
      <c r="B596" s="62">
        <v>0</v>
      </c>
      <c r="C596" s="62">
        <v>0</v>
      </c>
      <c r="D596" s="62">
        <v>0</v>
      </c>
    </row>
    <row r="597" spans="1:4">
      <c r="A597" s="62" t="s">
        <v>752</v>
      </c>
      <c r="B597" s="62">
        <v>0</v>
      </c>
      <c r="C597" s="62">
        <v>0</v>
      </c>
      <c r="D597" s="62">
        <v>0</v>
      </c>
    </row>
    <row r="598" spans="1:4">
      <c r="A598" s="62" t="s">
        <v>753</v>
      </c>
      <c r="B598" s="62">
        <v>0</v>
      </c>
      <c r="C598" s="62">
        <v>0</v>
      </c>
      <c r="D598" s="62">
        <v>0</v>
      </c>
    </row>
    <row r="599" spans="1:4">
      <c r="A599" s="62" t="s">
        <v>754</v>
      </c>
      <c r="B599" s="62">
        <v>0</v>
      </c>
      <c r="C599" s="62">
        <v>0</v>
      </c>
      <c r="D599" s="62">
        <v>0</v>
      </c>
    </row>
    <row r="600" spans="1:4">
      <c r="A600" s="62" t="s">
        <v>755</v>
      </c>
      <c r="B600" s="62">
        <v>0</v>
      </c>
      <c r="C600" s="62">
        <v>0</v>
      </c>
      <c r="D600" s="62">
        <v>0</v>
      </c>
    </row>
    <row r="601" spans="1:4">
      <c r="A601" s="62" t="s">
        <v>756</v>
      </c>
      <c r="B601" s="62">
        <v>0</v>
      </c>
      <c r="C601" s="62">
        <v>0</v>
      </c>
      <c r="D601" s="62">
        <v>0</v>
      </c>
    </row>
    <row r="602" spans="1:4">
      <c r="A602" s="62" t="s">
        <v>757</v>
      </c>
      <c r="B602" s="62">
        <v>0</v>
      </c>
      <c r="C602" s="62">
        <v>0</v>
      </c>
      <c r="D602" s="62">
        <v>0</v>
      </c>
    </row>
    <row r="603" spans="1:4">
      <c r="A603" s="62" t="s">
        <v>758</v>
      </c>
      <c r="B603" s="62">
        <v>0</v>
      </c>
      <c r="C603" s="62">
        <v>0</v>
      </c>
      <c r="D603" s="62">
        <v>0</v>
      </c>
    </row>
    <row r="604" spans="1:4">
      <c r="A604" s="62" t="s">
        <v>759</v>
      </c>
      <c r="B604" s="62">
        <v>0</v>
      </c>
      <c r="C604" s="62">
        <v>0</v>
      </c>
      <c r="D604" s="62">
        <v>0</v>
      </c>
    </row>
    <row r="605" spans="1:4">
      <c r="A605" s="62" t="s">
        <v>760</v>
      </c>
      <c r="B605" s="62">
        <v>0</v>
      </c>
      <c r="C605" s="62">
        <v>0</v>
      </c>
      <c r="D605" s="62">
        <v>0</v>
      </c>
    </row>
    <row r="606" spans="1:4">
      <c r="A606" s="62" t="s">
        <v>761</v>
      </c>
      <c r="B606" s="62">
        <v>0</v>
      </c>
      <c r="C606" s="62">
        <v>0</v>
      </c>
      <c r="D606" s="62">
        <v>0</v>
      </c>
    </row>
    <row r="607" spans="1:4">
      <c r="A607" s="62" t="s">
        <v>762</v>
      </c>
      <c r="B607" s="62">
        <v>0</v>
      </c>
      <c r="C607" s="62">
        <v>0</v>
      </c>
      <c r="D607" s="62">
        <v>0</v>
      </c>
    </row>
    <row r="608" spans="1:4">
      <c r="A608" s="62" t="s">
        <v>763</v>
      </c>
      <c r="B608" s="62">
        <v>0</v>
      </c>
      <c r="C608" s="62">
        <v>0</v>
      </c>
      <c r="D608" s="62">
        <v>0</v>
      </c>
    </row>
    <row r="609" spans="1:4">
      <c r="A609" s="62" t="s">
        <v>764</v>
      </c>
      <c r="B609" s="62">
        <v>0</v>
      </c>
      <c r="C609" s="62">
        <v>0</v>
      </c>
      <c r="D609" s="62">
        <v>0</v>
      </c>
    </row>
    <row r="610" spans="1:4">
      <c r="A610" s="62" t="s">
        <v>765</v>
      </c>
      <c r="B610" s="62">
        <v>0</v>
      </c>
      <c r="C610" s="62">
        <v>0</v>
      </c>
      <c r="D610" s="62">
        <v>0</v>
      </c>
    </row>
    <row r="611" spans="1:4">
      <c r="A611" s="62" t="s">
        <v>766</v>
      </c>
      <c r="B611" s="62">
        <v>0</v>
      </c>
      <c r="C611" s="62">
        <v>0</v>
      </c>
      <c r="D611" s="62">
        <v>0</v>
      </c>
    </row>
    <row r="612" spans="1:4">
      <c r="A612" s="62" t="s">
        <v>767</v>
      </c>
      <c r="B612" s="62">
        <v>0</v>
      </c>
      <c r="C612" s="62">
        <v>0</v>
      </c>
      <c r="D612" s="62">
        <v>0</v>
      </c>
    </row>
    <row r="613" spans="1:4">
      <c r="A613" s="62" t="s">
        <v>768</v>
      </c>
      <c r="B613" s="62">
        <v>0</v>
      </c>
      <c r="C613" s="62">
        <v>0</v>
      </c>
      <c r="D613" s="62">
        <v>0</v>
      </c>
    </row>
    <row r="614" spans="1:4">
      <c r="A614" s="62" t="s">
        <v>769</v>
      </c>
      <c r="B614" s="62">
        <v>0</v>
      </c>
      <c r="C614" s="62">
        <v>0</v>
      </c>
      <c r="D614" s="62">
        <v>0</v>
      </c>
    </row>
    <row r="615" spans="1:4">
      <c r="A615" s="62" t="s">
        <v>770</v>
      </c>
      <c r="B615" s="62">
        <v>0</v>
      </c>
      <c r="C615" s="62">
        <v>0</v>
      </c>
      <c r="D615" s="62">
        <v>0</v>
      </c>
    </row>
    <row r="616" spans="1:4">
      <c r="A616" s="62" t="s">
        <v>771</v>
      </c>
      <c r="B616" s="62">
        <v>0</v>
      </c>
      <c r="C616" s="62">
        <v>0</v>
      </c>
      <c r="D616" s="62">
        <v>0</v>
      </c>
    </row>
    <row r="617" spans="1:4">
      <c r="A617" s="62" t="s">
        <v>772</v>
      </c>
      <c r="B617" s="62">
        <v>0</v>
      </c>
      <c r="C617" s="62">
        <v>0</v>
      </c>
      <c r="D617" s="62">
        <v>0</v>
      </c>
    </row>
    <row r="618" spans="1:4">
      <c r="A618" s="62" t="s">
        <v>773</v>
      </c>
      <c r="B618" s="62">
        <v>0</v>
      </c>
      <c r="C618" s="62">
        <v>0</v>
      </c>
      <c r="D618" s="62">
        <v>0</v>
      </c>
    </row>
    <row r="619" spans="1:4">
      <c r="A619" s="62" t="s">
        <v>774</v>
      </c>
      <c r="B619" s="62">
        <v>0</v>
      </c>
      <c r="C619" s="62">
        <v>0</v>
      </c>
      <c r="D619" s="62">
        <v>0</v>
      </c>
    </row>
    <row r="620" spans="1:4">
      <c r="A620" s="62" t="s">
        <v>775</v>
      </c>
      <c r="B620" s="62">
        <v>0</v>
      </c>
      <c r="C620" s="62">
        <v>0</v>
      </c>
      <c r="D620" s="62">
        <v>0</v>
      </c>
    </row>
    <row r="621" spans="1:4">
      <c r="A621" s="62" t="s">
        <v>776</v>
      </c>
      <c r="B621" s="62">
        <v>0</v>
      </c>
      <c r="C621" s="62">
        <v>0</v>
      </c>
      <c r="D621" s="62">
        <v>0</v>
      </c>
    </row>
    <row r="622" spans="1:4">
      <c r="A622" s="62" t="s">
        <v>777</v>
      </c>
      <c r="B622" s="62">
        <v>0</v>
      </c>
      <c r="C622" s="62">
        <v>0</v>
      </c>
      <c r="D622" s="62">
        <v>0</v>
      </c>
    </row>
    <row r="623" spans="1:4">
      <c r="A623" s="62" t="s">
        <v>778</v>
      </c>
      <c r="B623" s="62">
        <v>0</v>
      </c>
      <c r="C623" s="62">
        <v>0</v>
      </c>
      <c r="D623" s="62">
        <v>0</v>
      </c>
    </row>
    <row r="624" spans="1:4">
      <c r="A624" s="62" t="s">
        <v>779</v>
      </c>
      <c r="B624" s="62">
        <v>0</v>
      </c>
      <c r="C624" s="62">
        <v>0</v>
      </c>
      <c r="D624" s="62">
        <v>0</v>
      </c>
    </row>
    <row r="625" spans="1:4">
      <c r="A625" s="62" t="s">
        <v>780</v>
      </c>
      <c r="B625" s="62">
        <v>0</v>
      </c>
      <c r="C625" s="62">
        <v>0</v>
      </c>
      <c r="D625" s="62">
        <v>0</v>
      </c>
    </row>
    <row r="626" spans="1:4">
      <c r="A626" s="62" t="s">
        <v>781</v>
      </c>
      <c r="B626" s="62">
        <v>0</v>
      </c>
      <c r="C626" s="62">
        <v>0</v>
      </c>
      <c r="D626" s="62">
        <v>0</v>
      </c>
    </row>
    <row r="627" spans="1:4">
      <c r="A627" s="62" t="s">
        <v>782</v>
      </c>
      <c r="B627" s="62">
        <v>0</v>
      </c>
      <c r="C627" s="62">
        <v>0</v>
      </c>
      <c r="D627" s="62">
        <v>0</v>
      </c>
    </row>
    <row r="628" spans="1:4">
      <c r="A628" s="62" t="s">
        <v>783</v>
      </c>
      <c r="B628" s="62">
        <v>0</v>
      </c>
      <c r="C628" s="62">
        <v>0</v>
      </c>
      <c r="D628" s="62">
        <v>0</v>
      </c>
    </row>
    <row r="629" spans="1:4">
      <c r="A629" s="62" t="s">
        <v>784</v>
      </c>
      <c r="B629" s="62">
        <v>0</v>
      </c>
      <c r="C629" s="62">
        <v>0</v>
      </c>
      <c r="D629" s="62">
        <v>0</v>
      </c>
    </row>
    <row r="630" spans="1:4">
      <c r="A630" s="62" t="s">
        <v>785</v>
      </c>
      <c r="B630" s="62">
        <v>0</v>
      </c>
      <c r="C630" s="62">
        <v>0</v>
      </c>
      <c r="D630" s="62">
        <v>0</v>
      </c>
    </row>
    <row r="631" spans="1:4">
      <c r="A631" s="62" t="s">
        <v>786</v>
      </c>
      <c r="B631" s="62">
        <v>0</v>
      </c>
      <c r="C631" s="62">
        <v>0</v>
      </c>
      <c r="D631" s="62">
        <v>0</v>
      </c>
    </row>
    <row r="632" spans="1:4">
      <c r="A632" s="62" t="s">
        <v>787</v>
      </c>
      <c r="B632" s="62">
        <v>0</v>
      </c>
      <c r="C632" s="62">
        <v>0</v>
      </c>
      <c r="D632" s="62">
        <v>0</v>
      </c>
    </row>
    <row r="633" spans="1:4">
      <c r="A633" s="62" t="s">
        <v>788</v>
      </c>
      <c r="B633" s="62">
        <v>0</v>
      </c>
      <c r="C633" s="62">
        <v>0</v>
      </c>
      <c r="D633" s="62">
        <v>0</v>
      </c>
    </row>
    <row r="634" spans="1:4">
      <c r="A634" s="62" t="s">
        <v>789</v>
      </c>
      <c r="B634" s="62">
        <v>0</v>
      </c>
      <c r="C634" s="62">
        <v>0</v>
      </c>
      <c r="D634" s="62">
        <v>0</v>
      </c>
    </row>
    <row r="635" spans="1:4">
      <c r="A635" s="62" t="s">
        <v>790</v>
      </c>
      <c r="B635" s="62">
        <v>0</v>
      </c>
      <c r="C635" s="62">
        <v>0</v>
      </c>
      <c r="D635" s="62">
        <v>0</v>
      </c>
    </row>
    <row r="636" spans="1:4">
      <c r="A636" s="62" t="s">
        <v>791</v>
      </c>
      <c r="B636" s="62">
        <v>0</v>
      </c>
      <c r="C636" s="62">
        <v>0</v>
      </c>
      <c r="D636" s="62">
        <v>0</v>
      </c>
    </row>
    <row r="637" spans="1:4">
      <c r="A637" s="62" t="s">
        <v>792</v>
      </c>
      <c r="B637" s="62">
        <v>0</v>
      </c>
      <c r="C637" s="62">
        <v>0</v>
      </c>
      <c r="D637" s="62">
        <v>0</v>
      </c>
    </row>
    <row r="638" spans="1:4">
      <c r="A638" s="62" t="s">
        <v>793</v>
      </c>
      <c r="B638" s="62">
        <v>0</v>
      </c>
      <c r="C638" s="62">
        <v>0</v>
      </c>
      <c r="D638" s="62">
        <v>0</v>
      </c>
    </row>
    <row r="639" spans="1:4">
      <c r="A639" s="62" t="s">
        <v>794</v>
      </c>
      <c r="B639" s="62">
        <v>0</v>
      </c>
      <c r="C639" s="62">
        <v>0</v>
      </c>
      <c r="D639" s="62">
        <v>0</v>
      </c>
    </row>
    <row r="640" spans="1:4">
      <c r="A640" s="62" t="s">
        <v>795</v>
      </c>
      <c r="B640" s="62">
        <v>0</v>
      </c>
      <c r="C640" s="62">
        <v>0</v>
      </c>
      <c r="D640" s="62">
        <v>0</v>
      </c>
    </row>
    <row r="641" spans="1:4">
      <c r="A641" s="62" t="s">
        <v>796</v>
      </c>
      <c r="B641" s="62">
        <v>0</v>
      </c>
      <c r="C641" s="62">
        <v>0</v>
      </c>
      <c r="D641" s="62">
        <v>0</v>
      </c>
    </row>
    <row r="642" spans="1:4">
      <c r="A642" s="62" t="s">
        <v>797</v>
      </c>
      <c r="B642" s="62">
        <v>0</v>
      </c>
      <c r="C642" s="62">
        <v>0</v>
      </c>
      <c r="D642" s="62">
        <v>0</v>
      </c>
    </row>
    <row r="643" spans="1:4">
      <c r="A643" s="62" t="s">
        <v>798</v>
      </c>
      <c r="B643" s="62">
        <v>0</v>
      </c>
      <c r="C643" s="62">
        <v>0</v>
      </c>
      <c r="D643" s="62">
        <v>0</v>
      </c>
    </row>
    <row r="644" spans="1:4">
      <c r="A644" s="62" t="s">
        <v>799</v>
      </c>
      <c r="B644" s="62">
        <v>0</v>
      </c>
      <c r="C644" s="62">
        <v>0</v>
      </c>
      <c r="D644" s="62">
        <v>0</v>
      </c>
    </row>
    <row r="645" spans="1:4">
      <c r="A645" s="62" t="s">
        <v>800</v>
      </c>
      <c r="B645" s="62">
        <v>0</v>
      </c>
      <c r="C645" s="62">
        <v>0</v>
      </c>
      <c r="D645" s="62">
        <v>0</v>
      </c>
    </row>
    <row r="646" spans="1:4">
      <c r="A646" s="62" t="s">
        <v>801</v>
      </c>
      <c r="B646" s="62">
        <v>0</v>
      </c>
      <c r="C646" s="62">
        <v>0</v>
      </c>
      <c r="D646" s="62">
        <v>0</v>
      </c>
    </row>
    <row r="647" spans="1:4">
      <c r="A647" s="62" t="s">
        <v>802</v>
      </c>
      <c r="B647" s="62">
        <v>0</v>
      </c>
      <c r="C647" s="62">
        <v>0</v>
      </c>
      <c r="D647" s="62">
        <v>0</v>
      </c>
    </row>
    <row r="648" spans="1:4">
      <c r="A648" s="62" t="s">
        <v>803</v>
      </c>
      <c r="B648" s="62">
        <v>0</v>
      </c>
      <c r="C648" s="62">
        <v>0</v>
      </c>
      <c r="D648" s="62">
        <v>0</v>
      </c>
    </row>
    <row r="649" spans="1:4">
      <c r="A649" s="62" t="s">
        <v>804</v>
      </c>
      <c r="B649" s="62">
        <v>0</v>
      </c>
      <c r="C649" s="62">
        <v>0</v>
      </c>
      <c r="D649" s="62">
        <v>0</v>
      </c>
    </row>
    <row r="650" spans="1:4">
      <c r="A650" s="62" t="s">
        <v>805</v>
      </c>
      <c r="B650" s="62">
        <v>0</v>
      </c>
      <c r="C650" s="62">
        <v>0</v>
      </c>
      <c r="D650" s="62">
        <v>0</v>
      </c>
    </row>
    <row r="651" spans="1:4">
      <c r="A651" s="62" t="s">
        <v>806</v>
      </c>
      <c r="B651" s="62">
        <v>0</v>
      </c>
      <c r="C651" s="62">
        <v>0</v>
      </c>
      <c r="D651" s="62">
        <v>0</v>
      </c>
    </row>
    <row r="652" spans="1:4">
      <c r="A652" s="62" t="s">
        <v>807</v>
      </c>
      <c r="B652" s="62">
        <v>0</v>
      </c>
      <c r="C652" s="62">
        <v>0</v>
      </c>
      <c r="D652" s="62">
        <v>0</v>
      </c>
    </row>
    <row r="653" spans="1:4">
      <c r="A653" s="62" t="s">
        <v>808</v>
      </c>
      <c r="B653" s="62">
        <v>0</v>
      </c>
      <c r="C653" s="62">
        <v>0</v>
      </c>
      <c r="D653" s="62">
        <v>0</v>
      </c>
    </row>
    <row r="654" spans="1:4">
      <c r="A654" s="62" t="s">
        <v>809</v>
      </c>
      <c r="B654" s="62">
        <v>0</v>
      </c>
      <c r="C654" s="62">
        <v>0</v>
      </c>
      <c r="D654" s="62">
        <v>0</v>
      </c>
    </row>
    <row r="655" spans="1:4">
      <c r="A655" s="62" t="s">
        <v>810</v>
      </c>
      <c r="B655" s="62">
        <v>0</v>
      </c>
      <c r="C655" s="62">
        <v>0</v>
      </c>
      <c r="D655" s="62">
        <v>0</v>
      </c>
    </row>
    <row r="656" spans="1:4">
      <c r="A656" s="62" t="s">
        <v>811</v>
      </c>
      <c r="B656" s="62">
        <v>0</v>
      </c>
      <c r="C656" s="62">
        <v>0</v>
      </c>
      <c r="D656" s="62">
        <v>0</v>
      </c>
    </row>
    <row r="657" spans="1:4">
      <c r="A657" s="62" t="s">
        <v>812</v>
      </c>
      <c r="B657" s="62">
        <v>0</v>
      </c>
      <c r="C657" s="62">
        <v>0</v>
      </c>
      <c r="D657" s="62">
        <v>0</v>
      </c>
    </row>
    <row r="658" spans="1:4">
      <c r="A658" s="62" t="s">
        <v>813</v>
      </c>
      <c r="B658" s="62">
        <v>0</v>
      </c>
      <c r="C658" s="62">
        <v>0</v>
      </c>
      <c r="D658" s="62">
        <v>0</v>
      </c>
    </row>
    <row r="659" spans="1:4">
      <c r="A659" s="62" t="s">
        <v>814</v>
      </c>
      <c r="B659" s="62">
        <v>0</v>
      </c>
      <c r="C659" s="62">
        <v>0</v>
      </c>
      <c r="D659" s="62">
        <v>0</v>
      </c>
    </row>
    <row r="660" spans="1:4">
      <c r="A660" s="62" t="s">
        <v>815</v>
      </c>
      <c r="B660" s="62">
        <v>0</v>
      </c>
      <c r="C660" s="62">
        <v>0</v>
      </c>
      <c r="D660" s="62">
        <v>0</v>
      </c>
    </row>
    <row r="661" spans="1:4">
      <c r="A661" s="62" t="s">
        <v>816</v>
      </c>
      <c r="B661" s="62">
        <v>0</v>
      </c>
      <c r="C661" s="62">
        <v>0</v>
      </c>
      <c r="D661" s="62">
        <v>0</v>
      </c>
    </row>
    <row r="662" spans="1:4">
      <c r="A662" s="62" t="s">
        <v>817</v>
      </c>
      <c r="B662" s="62">
        <v>0</v>
      </c>
      <c r="C662" s="62">
        <v>0</v>
      </c>
      <c r="D662" s="62">
        <v>0</v>
      </c>
    </row>
    <row r="663" spans="1:4">
      <c r="A663" s="62" t="s">
        <v>818</v>
      </c>
      <c r="B663" s="62">
        <v>0</v>
      </c>
      <c r="C663" s="62">
        <v>0</v>
      </c>
      <c r="D663" s="62">
        <v>0</v>
      </c>
    </row>
    <row r="664" spans="1:4">
      <c r="A664" s="62" t="s">
        <v>819</v>
      </c>
      <c r="B664" s="62">
        <v>0</v>
      </c>
      <c r="C664" s="62">
        <v>0</v>
      </c>
      <c r="D664" s="62">
        <v>0</v>
      </c>
    </row>
    <row r="665" spans="1:4">
      <c r="A665" s="62" t="s">
        <v>820</v>
      </c>
      <c r="B665" s="62">
        <v>0</v>
      </c>
      <c r="C665" s="62">
        <v>0</v>
      </c>
      <c r="D665" s="62">
        <v>0</v>
      </c>
    </row>
    <row r="666" spans="1:4">
      <c r="A666" s="62" t="s">
        <v>821</v>
      </c>
      <c r="B666" s="62">
        <v>0</v>
      </c>
      <c r="C666" s="62">
        <v>0</v>
      </c>
      <c r="D666" s="62">
        <v>0</v>
      </c>
    </row>
    <row r="667" spans="1:4">
      <c r="A667" s="62" t="s">
        <v>822</v>
      </c>
      <c r="B667" s="62">
        <v>0</v>
      </c>
      <c r="C667" s="62">
        <v>0</v>
      </c>
      <c r="D667" s="62">
        <v>0</v>
      </c>
    </row>
    <row r="668" spans="1:4">
      <c r="A668" s="62" t="s">
        <v>823</v>
      </c>
      <c r="B668" s="62">
        <v>0</v>
      </c>
      <c r="C668" s="62">
        <v>0</v>
      </c>
      <c r="D668" s="62">
        <v>0</v>
      </c>
    </row>
    <row r="669" spans="1:4">
      <c r="A669" s="62" t="s">
        <v>824</v>
      </c>
      <c r="B669" s="62">
        <v>0</v>
      </c>
      <c r="C669" s="62">
        <v>0</v>
      </c>
      <c r="D669" s="62">
        <v>0</v>
      </c>
    </row>
    <row r="670" spans="1:4">
      <c r="A670" s="62" t="s">
        <v>825</v>
      </c>
      <c r="B670" s="62">
        <v>0</v>
      </c>
      <c r="C670" s="62">
        <v>0</v>
      </c>
      <c r="D670" s="62">
        <v>0</v>
      </c>
    </row>
    <row r="671" spans="1:4">
      <c r="A671" s="62" t="s">
        <v>826</v>
      </c>
      <c r="B671" s="62">
        <v>0</v>
      </c>
      <c r="C671" s="62">
        <v>0</v>
      </c>
      <c r="D671" s="62">
        <v>0</v>
      </c>
    </row>
    <row r="672" spans="1:4">
      <c r="A672" s="62" t="s">
        <v>827</v>
      </c>
      <c r="B672" s="62">
        <v>0</v>
      </c>
      <c r="C672" s="62">
        <v>0</v>
      </c>
      <c r="D672" s="62">
        <v>0</v>
      </c>
    </row>
    <row r="673" spans="1:4">
      <c r="A673" s="62" t="s">
        <v>828</v>
      </c>
      <c r="B673" s="62">
        <v>0</v>
      </c>
      <c r="C673" s="62">
        <v>0</v>
      </c>
      <c r="D673" s="62">
        <v>0</v>
      </c>
    </row>
    <row r="674" spans="1:4">
      <c r="A674" s="62" t="s">
        <v>829</v>
      </c>
      <c r="B674" s="62">
        <v>0</v>
      </c>
      <c r="C674" s="62">
        <v>0</v>
      </c>
      <c r="D674" s="62">
        <v>0</v>
      </c>
    </row>
    <row r="675" spans="1:4">
      <c r="A675" s="62" t="s">
        <v>830</v>
      </c>
      <c r="B675" s="62">
        <v>0</v>
      </c>
      <c r="C675" s="62">
        <v>0</v>
      </c>
      <c r="D675" s="62">
        <v>0</v>
      </c>
    </row>
    <row r="676" spans="1:4">
      <c r="A676" s="62" t="s">
        <v>831</v>
      </c>
      <c r="B676" s="62">
        <v>0</v>
      </c>
      <c r="C676" s="62">
        <v>0</v>
      </c>
      <c r="D676" s="62">
        <v>0</v>
      </c>
    </row>
    <row r="677" spans="1:4">
      <c r="A677" s="62" t="s">
        <v>832</v>
      </c>
      <c r="B677" s="62">
        <v>0</v>
      </c>
      <c r="C677" s="62">
        <v>0</v>
      </c>
      <c r="D677" s="62">
        <v>0</v>
      </c>
    </row>
    <row r="678" spans="1:4">
      <c r="A678" s="62" t="s">
        <v>833</v>
      </c>
      <c r="B678" s="62">
        <v>0</v>
      </c>
      <c r="C678" s="62">
        <v>0</v>
      </c>
      <c r="D678" s="62">
        <v>0</v>
      </c>
    </row>
    <row r="679" spans="1:4">
      <c r="A679" s="62" t="s">
        <v>834</v>
      </c>
      <c r="B679" s="62">
        <v>0</v>
      </c>
      <c r="C679" s="62">
        <v>0</v>
      </c>
      <c r="D679" s="62">
        <v>0</v>
      </c>
    </row>
    <row r="680" spans="1:4">
      <c r="A680" s="62" t="s">
        <v>835</v>
      </c>
      <c r="B680" s="62">
        <v>0</v>
      </c>
      <c r="C680" s="62">
        <v>0</v>
      </c>
      <c r="D680" s="62">
        <v>0</v>
      </c>
    </row>
    <row r="681" spans="1:4">
      <c r="A681" s="62" t="s">
        <v>836</v>
      </c>
      <c r="B681" s="62">
        <v>0</v>
      </c>
      <c r="C681" s="62">
        <v>0</v>
      </c>
      <c r="D681" s="62">
        <v>0</v>
      </c>
    </row>
    <row r="682" spans="1:4">
      <c r="A682" s="62" t="s">
        <v>837</v>
      </c>
      <c r="B682" s="62">
        <v>0</v>
      </c>
      <c r="C682" s="62">
        <v>0</v>
      </c>
      <c r="D682" s="62">
        <v>0</v>
      </c>
    </row>
    <row r="683" spans="1:4">
      <c r="A683" s="62" t="s">
        <v>838</v>
      </c>
      <c r="B683" s="62">
        <v>0</v>
      </c>
      <c r="C683" s="62">
        <v>0</v>
      </c>
      <c r="D683" s="62">
        <v>0</v>
      </c>
    </row>
    <row r="684" spans="1:4">
      <c r="A684" s="62" t="s">
        <v>839</v>
      </c>
      <c r="B684" s="62">
        <v>0</v>
      </c>
      <c r="C684" s="62">
        <v>0</v>
      </c>
      <c r="D684" s="62">
        <v>0</v>
      </c>
    </row>
    <row r="685" spans="1:4">
      <c r="A685" s="62" t="s">
        <v>840</v>
      </c>
      <c r="B685" s="62">
        <v>0</v>
      </c>
      <c r="C685" s="62">
        <v>0</v>
      </c>
      <c r="D685" s="62">
        <v>0</v>
      </c>
    </row>
    <row r="686" spans="1:4">
      <c r="A686" s="62" t="s">
        <v>841</v>
      </c>
      <c r="B686" s="62">
        <v>0</v>
      </c>
      <c r="C686" s="62">
        <v>0</v>
      </c>
      <c r="D686" s="62">
        <v>0</v>
      </c>
    </row>
    <row r="687" spans="1:4">
      <c r="A687" s="62" t="s">
        <v>842</v>
      </c>
      <c r="B687" s="62">
        <v>0</v>
      </c>
      <c r="C687" s="62">
        <v>0</v>
      </c>
      <c r="D687" s="62">
        <v>0</v>
      </c>
    </row>
    <row r="688" spans="1:4">
      <c r="A688" s="62" t="s">
        <v>843</v>
      </c>
      <c r="B688" s="62">
        <v>0</v>
      </c>
      <c r="C688" s="62">
        <v>0</v>
      </c>
      <c r="D688" s="62">
        <v>0</v>
      </c>
    </row>
    <row r="689" spans="1:4">
      <c r="A689" s="62" t="s">
        <v>844</v>
      </c>
      <c r="B689" s="62">
        <v>0</v>
      </c>
      <c r="C689" s="62">
        <v>0</v>
      </c>
      <c r="D689" s="62">
        <v>0</v>
      </c>
    </row>
    <row r="690" spans="1:4">
      <c r="A690" s="62" t="s">
        <v>845</v>
      </c>
      <c r="B690" s="62">
        <v>0</v>
      </c>
      <c r="C690" s="62">
        <v>0</v>
      </c>
      <c r="D690" s="62">
        <v>0</v>
      </c>
    </row>
    <row r="691" spans="1:4">
      <c r="A691" s="62" t="s">
        <v>846</v>
      </c>
      <c r="B691" s="62">
        <v>0</v>
      </c>
      <c r="C691" s="62">
        <v>0</v>
      </c>
      <c r="D691" s="62">
        <v>0</v>
      </c>
    </row>
    <row r="692" spans="1:4">
      <c r="A692" s="62" t="s">
        <v>847</v>
      </c>
      <c r="B692" s="62">
        <v>0</v>
      </c>
      <c r="C692" s="62">
        <v>0</v>
      </c>
      <c r="D692" s="62">
        <v>0</v>
      </c>
    </row>
    <row r="693" spans="1:4">
      <c r="A693" s="62" t="s">
        <v>848</v>
      </c>
      <c r="B693" s="62">
        <v>0</v>
      </c>
      <c r="C693" s="62">
        <v>0</v>
      </c>
      <c r="D693" s="62">
        <v>0</v>
      </c>
    </row>
    <row r="694" spans="1:4">
      <c r="A694" s="62" t="s">
        <v>849</v>
      </c>
      <c r="B694" s="62">
        <v>0</v>
      </c>
      <c r="C694" s="62">
        <v>0</v>
      </c>
      <c r="D694" s="62">
        <v>0</v>
      </c>
    </row>
    <row r="695" spans="1:4">
      <c r="A695" s="62" t="s">
        <v>850</v>
      </c>
      <c r="B695" s="62">
        <v>0</v>
      </c>
      <c r="C695" s="62">
        <v>0</v>
      </c>
      <c r="D695" s="62">
        <v>0</v>
      </c>
    </row>
    <row r="696" spans="1:4">
      <c r="A696" s="62" t="s">
        <v>851</v>
      </c>
      <c r="B696" s="62">
        <v>0</v>
      </c>
      <c r="C696" s="62">
        <v>0</v>
      </c>
      <c r="D696" s="62">
        <v>0</v>
      </c>
    </row>
    <row r="697" spans="1:4">
      <c r="A697" s="62" t="s">
        <v>852</v>
      </c>
      <c r="B697" s="62">
        <v>0</v>
      </c>
      <c r="C697" s="62">
        <v>0</v>
      </c>
      <c r="D697" s="62">
        <v>0</v>
      </c>
    </row>
    <row r="698" spans="1:4">
      <c r="A698" s="62" t="s">
        <v>853</v>
      </c>
      <c r="B698" s="62">
        <v>0</v>
      </c>
      <c r="C698" s="62">
        <v>0</v>
      </c>
      <c r="D698" s="62">
        <v>0</v>
      </c>
    </row>
    <row r="699" spans="1:4">
      <c r="A699" s="62" t="s">
        <v>854</v>
      </c>
      <c r="B699" s="62">
        <v>0</v>
      </c>
      <c r="C699" s="62">
        <v>0</v>
      </c>
      <c r="D699" s="62">
        <v>0</v>
      </c>
    </row>
    <row r="700" spans="1:4">
      <c r="A700" s="62" t="s">
        <v>855</v>
      </c>
      <c r="B700" s="62">
        <v>0</v>
      </c>
      <c r="C700" s="62">
        <v>0</v>
      </c>
      <c r="D700" s="62">
        <v>0</v>
      </c>
    </row>
    <row r="701" spans="1:4">
      <c r="A701" s="62" t="s">
        <v>856</v>
      </c>
      <c r="B701" s="62">
        <v>0</v>
      </c>
      <c r="C701" s="62">
        <v>0</v>
      </c>
      <c r="D701" s="62">
        <v>0</v>
      </c>
    </row>
    <row r="702" spans="1:4">
      <c r="A702" s="62" t="s">
        <v>857</v>
      </c>
      <c r="B702" s="62">
        <v>0</v>
      </c>
      <c r="C702" s="62">
        <v>0</v>
      </c>
      <c r="D702" s="62">
        <v>0</v>
      </c>
    </row>
    <row r="703" spans="1:4">
      <c r="A703" s="62" t="s">
        <v>858</v>
      </c>
      <c r="B703" s="62">
        <v>0</v>
      </c>
      <c r="C703" s="62">
        <v>0</v>
      </c>
      <c r="D703" s="62">
        <v>0</v>
      </c>
    </row>
    <row r="704" spans="1:4">
      <c r="A704" s="62" t="s">
        <v>859</v>
      </c>
      <c r="B704" s="62">
        <v>0</v>
      </c>
      <c r="C704" s="62">
        <v>0</v>
      </c>
      <c r="D704" s="62">
        <v>0</v>
      </c>
    </row>
    <row r="705" spans="1:4">
      <c r="A705" s="62" t="s">
        <v>860</v>
      </c>
      <c r="B705" s="62">
        <v>0</v>
      </c>
      <c r="C705" s="62">
        <v>0</v>
      </c>
      <c r="D705" s="62">
        <v>0</v>
      </c>
    </row>
    <row r="706" spans="1:4">
      <c r="A706" s="62" t="s">
        <v>861</v>
      </c>
      <c r="B706" s="62">
        <v>0</v>
      </c>
      <c r="C706" s="62">
        <v>0</v>
      </c>
      <c r="D706" s="62">
        <v>0</v>
      </c>
    </row>
    <row r="707" spans="1:4">
      <c r="A707" s="62" t="s">
        <v>862</v>
      </c>
      <c r="B707" s="62">
        <v>0</v>
      </c>
      <c r="C707" s="62">
        <v>0</v>
      </c>
      <c r="D707" s="62">
        <v>0</v>
      </c>
    </row>
    <row r="708" spans="1:4">
      <c r="A708" s="62" t="s">
        <v>863</v>
      </c>
      <c r="B708" s="62">
        <v>0</v>
      </c>
      <c r="C708" s="62">
        <v>0</v>
      </c>
      <c r="D708" s="62">
        <v>0</v>
      </c>
    </row>
    <row r="709" spans="1:4">
      <c r="A709" s="62" t="s">
        <v>864</v>
      </c>
      <c r="B709" s="62">
        <v>0</v>
      </c>
      <c r="C709" s="62">
        <v>0</v>
      </c>
      <c r="D709" s="62">
        <v>0</v>
      </c>
    </row>
    <row r="710" spans="1:4">
      <c r="A710" s="62" t="s">
        <v>865</v>
      </c>
      <c r="B710" s="62">
        <v>0</v>
      </c>
      <c r="C710" s="62">
        <v>0</v>
      </c>
      <c r="D710" s="62">
        <v>0</v>
      </c>
    </row>
    <row r="711" spans="1:4">
      <c r="A711" s="62" t="s">
        <v>866</v>
      </c>
      <c r="B711" s="62">
        <v>0</v>
      </c>
      <c r="C711" s="62">
        <v>0</v>
      </c>
      <c r="D711" s="62">
        <v>0</v>
      </c>
    </row>
    <row r="712" spans="1:4">
      <c r="A712" s="62" t="s">
        <v>867</v>
      </c>
      <c r="B712" s="62">
        <v>0</v>
      </c>
      <c r="C712" s="62">
        <v>0</v>
      </c>
      <c r="D712" s="62">
        <v>0</v>
      </c>
    </row>
    <row r="713" spans="1:4">
      <c r="A713" s="62" t="s">
        <v>868</v>
      </c>
      <c r="B713" s="62">
        <v>0</v>
      </c>
      <c r="C713" s="62">
        <v>0</v>
      </c>
      <c r="D713" s="62">
        <v>0</v>
      </c>
    </row>
    <row r="714" spans="1:4">
      <c r="A714" s="62" t="s">
        <v>869</v>
      </c>
      <c r="B714" s="62">
        <v>0</v>
      </c>
      <c r="C714" s="62">
        <v>0</v>
      </c>
      <c r="D714" s="62">
        <v>0</v>
      </c>
    </row>
    <row r="715" spans="1:4">
      <c r="A715" s="62" t="s">
        <v>870</v>
      </c>
      <c r="B715" s="62">
        <v>0</v>
      </c>
      <c r="C715" s="62">
        <v>0</v>
      </c>
      <c r="D715" s="62">
        <v>0</v>
      </c>
    </row>
    <row r="716" spans="1:4">
      <c r="A716" s="62" t="s">
        <v>871</v>
      </c>
      <c r="B716" s="62">
        <v>0</v>
      </c>
      <c r="C716" s="62">
        <v>0</v>
      </c>
      <c r="D716" s="62">
        <v>0</v>
      </c>
    </row>
    <row r="717" spans="1:4">
      <c r="A717" s="62" t="s">
        <v>872</v>
      </c>
      <c r="B717" s="62">
        <v>0</v>
      </c>
      <c r="C717" s="62">
        <v>0</v>
      </c>
      <c r="D717" s="62">
        <v>0</v>
      </c>
    </row>
    <row r="718" spans="1:4">
      <c r="A718" s="62" t="s">
        <v>873</v>
      </c>
      <c r="B718" s="62">
        <v>0</v>
      </c>
      <c r="C718" s="62">
        <v>0</v>
      </c>
      <c r="D718" s="62">
        <v>0</v>
      </c>
    </row>
    <row r="719" spans="1:4">
      <c r="A719" s="62" t="s">
        <v>874</v>
      </c>
      <c r="B719" s="62">
        <v>0</v>
      </c>
      <c r="C719" s="62">
        <v>0</v>
      </c>
      <c r="D719" s="62">
        <v>0</v>
      </c>
    </row>
    <row r="720" spans="1:4">
      <c r="A720" s="62" t="s">
        <v>875</v>
      </c>
      <c r="B720" s="62">
        <v>0</v>
      </c>
      <c r="C720" s="62">
        <v>0</v>
      </c>
      <c r="D720" s="62">
        <v>0</v>
      </c>
    </row>
    <row r="721" spans="1:4">
      <c r="A721" s="62" t="s">
        <v>876</v>
      </c>
      <c r="B721" s="62">
        <v>0</v>
      </c>
      <c r="C721" s="62">
        <v>0</v>
      </c>
      <c r="D721" s="62">
        <v>0</v>
      </c>
    </row>
    <row r="722" spans="1:4">
      <c r="A722" s="62" t="s">
        <v>877</v>
      </c>
      <c r="B722" s="62">
        <v>0</v>
      </c>
      <c r="C722" s="62">
        <v>0</v>
      </c>
      <c r="D722" s="62">
        <v>0</v>
      </c>
    </row>
    <row r="723" spans="1:4">
      <c r="A723" s="62" t="s">
        <v>878</v>
      </c>
      <c r="B723" s="62">
        <v>0</v>
      </c>
      <c r="C723" s="62">
        <v>0</v>
      </c>
      <c r="D723" s="62">
        <v>0</v>
      </c>
    </row>
    <row r="724" spans="1:4">
      <c r="A724" s="62" t="s">
        <v>879</v>
      </c>
      <c r="B724" s="62">
        <v>0</v>
      </c>
      <c r="C724" s="62">
        <v>0</v>
      </c>
      <c r="D724" s="62">
        <v>0</v>
      </c>
    </row>
    <row r="725" spans="1:4">
      <c r="A725" s="62" t="s">
        <v>880</v>
      </c>
      <c r="B725" s="62">
        <v>0</v>
      </c>
      <c r="C725" s="62">
        <v>0</v>
      </c>
      <c r="D725" s="62">
        <v>0</v>
      </c>
    </row>
    <row r="726" spans="1:4">
      <c r="A726" s="62" t="s">
        <v>881</v>
      </c>
      <c r="B726" s="62">
        <v>0</v>
      </c>
      <c r="C726" s="62">
        <v>0</v>
      </c>
      <c r="D726" s="62">
        <v>0</v>
      </c>
    </row>
    <row r="727" spans="1:4">
      <c r="A727" s="62" t="s">
        <v>882</v>
      </c>
      <c r="B727" s="62">
        <v>0</v>
      </c>
      <c r="C727" s="62">
        <v>0</v>
      </c>
      <c r="D727" s="62">
        <v>0</v>
      </c>
    </row>
    <row r="728" spans="1:4">
      <c r="A728" s="62" t="s">
        <v>883</v>
      </c>
      <c r="B728" s="62">
        <v>0</v>
      </c>
      <c r="C728" s="62">
        <v>0</v>
      </c>
      <c r="D728" s="62">
        <v>0</v>
      </c>
    </row>
    <row r="729" spans="1:4">
      <c r="A729" s="62" t="s">
        <v>884</v>
      </c>
      <c r="B729" s="62">
        <v>0</v>
      </c>
      <c r="C729" s="62">
        <v>0</v>
      </c>
      <c r="D729" s="62">
        <v>0</v>
      </c>
    </row>
    <row r="730" spans="1:4">
      <c r="A730" s="62" t="s">
        <v>885</v>
      </c>
      <c r="B730" s="62">
        <v>0</v>
      </c>
      <c r="C730" s="62">
        <v>0</v>
      </c>
      <c r="D730" s="62">
        <v>0</v>
      </c>
    </row>
    <row r="731" spans="1:4">
      <c r="A731" s="62" t="s">
        <v>156</v>
      </c>
      <c r="B731" s="62">
        <v>30</v>
      </c>
      <c r="C731" s="62">
        <v>0</v>
      </c>
      <c r="D731" s="62">
        <v>0</v>
      </c>
    </row>
    <row r="732" spans="1:4">
      <c r="A732" s="62" t="s">
        <v>886</v>
      </c>
      <c r="B732" s="62">
        <v>0</v>
      </c>
      <c r="C732" s="62">
        <v>0</v>
      </c>
      <c r="D732" s="62">
        <v>0</v>
      </c>
    </row>
    <row r="733" spans="1:4">
      <c r="A733" s="62" t="s">
        <v>887</v>
      </c>
      <c r="B733" s="62">
        <v>0</v>
      </c>
      <c r="C733" s="62">
        <v>0</v>
      </c>
      <c r="D733" s="62">
        <v>0</v>
      </c>
    </row>
    <row r="734" spans="1:4">
      <c r="A734" s="62" t="s">
        <v>888</v>
      </c>
      <c r="B734" s="62">
        <v>0</v>
      </c>
      <c r="C734" s="62">
        <v>0</v>
      </c>
      <c r="D734" s="62">
        <v>0</v>
      </c>
    </row>
    <row r="735" spans="1:4">
      <c r="A735" s="62" t="s">
        <v>889</v>
      </c>
      <c r="B735" s="62">
        <v>0</v>
      </c>
      <c r="C735" s="62">
        <v>0</v>
      </c>
      <c r="D735" s="62">
        <v>0</v>
      </c>
    </row>
    <row r="736" spans="1:4">
      <c r="A736" s="62" t="s">
        <v>890</v>
      </c>
      <c r="B736" s="62">
        <v>0</v>
      </c>
      <c r="C736" s="62">
        <v>0</v>
      </c>
      <c r="D736" s="62">
        <v>0</v>
      </c>
    </row>
    <row r="737" spans="1:4">
      <c r="A737" s="62" t="s">
        <v>891</v>
      </c>
      <c r="B737" s="62">
        <v>0</v>
      </c>
      <c r="C737" s="62">
        <v>0</v>
      </c>
      <c r="D737" s="62">
        <v>0</v>
      </c>
    </row>
    <row r="738" spans="1:4">
      <c r="A738" s="62" t="s">
        <v>892</v>
      </c>
      <c r="B738" s="62">
        <v>0</v>
      </c>
      <c r="C738" s="62">
        <v>0</v>
      </c>
      <c r="D738" s="62">
        <v>0</v>
      </c>
    </row>
    <row r="739" spans="1:4">
      <c r="A739" s="62" t="s">
        <v>893</v>
      </c>
      <c r="B739" s="62">
        <v>0</v>
      </c>
      <c r="C739" s="62">
        <v>0</v>
      </c>
      <c r="D739" s="62">
        <v>0</v>
      </c>
    </row>
    <row r="740" spans="1:4">
      <c r="A740" s="62" t="s">
        <v>266</v>
      </c>
      <c r="B740" s="62">
        <v>0</v>
      </c>
      <c r="C740" s="62">
        <v>0</v>
      </c>
      <c r="D740" s="62">
        <v>0</v>
      </c>
    </row>
    <row r="741" spans="1:4">
      <c r="A741" s="62" t="s">
        <v>267</v>
      </c>
      <c r="B741" s="62">
        <v>0</v>
      </c>
      <c r="C741" s="62">
        <v>0</v>
      </c>
      <c r="D741" s="62">
        <v>0</v>
      </c>
    </row>
    <row r="742" spans="1:4">
      <c r="A742" s="62" t="s">
        <v>894</v>
      </c>
      <c r="B742" s="62">
        <v>0</v>
      </c>
      <c r="C742" s="62">
        <v>0</v>
      </c>
      <c r="D742" s="62">
        <v>0</v>
      </c>
    </row>
    <row r="743" spans="1:4">
      <c r="A743" s="62" t="s">
        <v>895</v>
      </c>
      <c r="B743" s="62">
        <v>0</v>
      </c>
      <c r="C743" s="62">
        <v>0</v>
      </c>
      <c r="D743" s="62">
        <v>0</v>
      </c>
    </row>
    <row r="744" spans="1:4">
      <c r="A744" s="62" t="s">
        <v>896</v>
      </c>
      <c r="B744" s="62">
        <v>0</v>
      </c>
      <c r="C744" s="62">
        <v>0</v>
      </c>
      <c r="D744" s="62">
        <v>0</v>
      </c>
    </row>
    <row r="745" spans="1:4">
      <c r="A745" s="62" t="s">
        <v>897</v>
      </c>
      <c r="B745" s="62">
        <v>0</v>
      </c>
      <c r="C745" s="62">
        <v>0</v>
      </c>
      <c r="D745" s="62">
        <v>0</v>
      </c>
    </row>
    <row r="746" spans="1:4">
      <c r="A746" s="62" t="s">
        <v>161</v>
      </c>
      <c r="B746" s="62">
        <v>0</v>
      </c>
      <c r="C746" s="62">
        <v>0</v>
      </c>
      <c r="D746" s="62">
        <v>0</v>
      </c>
    </row>
    <row r="747" spans="1:4">
      <c r="A747" s="62" t="s">
        <v>898</v>
      </c>
      <c r="B747" s="62">
        <v>0</v>
      </c>
      <c r="C747" s="62">
        <v>0</v>
      </c>
      <c r="D747" s="62">
        <v>0</v>
      </c>
    </row>
    <row r="748" spans="1:4">
      <c r="A748" s="62" t="s">
        <v>899</v>
      </c>
      <c r="B748" s="62">
        <v>0</v>
      </c>
      <c r="C748" s="62">
        <v>0</v>
      </c>
      <c r="D748" s="62">
        <v>0</v>
      </c>
    </row>
    <row r="749" spans="1:4">
      <c r="A749" s="62" t="s">
        <v>900</v>
      </c>
      <c r="B749" s="62">
        <v>0</v>
      </c>
      <c r="C749" s="62">
        <v>0</v>
      </c>
      <c r="D749" s="62">
        <v>0</v>
      </c>
    </row>
    <row r="750" spans="1:4">
      <c r="A750" s="62" t="s">
        <v>901</v>
      </c>
      <c r="B750" s="62">
        <v>0</v>
      </c>
      <c r="C750" s="62">
        <v>0</v>
      </c>
      <c r="D750" s="62">
        <v>0</v>
      </c>
    </row>
    <row r="751" spans="1:4">
      <c r="A751" s="62" t="s">
        <v>902</v>
      </c>
      <c r="B751" s="62">
        <v>0</v>
      </c>
      <c r="C751" s="62">
        <v>0</v>
      </c>
      <c r="D751" s="62">
        <v>0</v>
      </c>
    </row>
    <row r="752" spans="1:4">
      <c r="A752" s="62" t="s">
        <v>903</v>
      </c>
      <c r="B752" s="62">
        <v>0</v>
      </c>
      <c r="C752" s="62">
        <v>0</v>
      </c>
      <c r="D752" s="62">
        <v>0</v>
      </c>
    </row>
    <row r="753" spans="1:4">
      <c r="A753" s="62" t="s">
        <v>904</v>
      </c>
      <c r="B753" s="62">
        <v>0</v>
      </c>
      <c r="C753" s="62">
        <v>0</v>
      </c>
      <c r="D753" s="62">
        <v>0</v>
      </c>
    </row>
    <row r="754" spans="1:4">
      <c r="A754" s="62" t="s">
        <v>905</v>
      </c>
      <c r="B754" s="62">
        <v>0</v>
      </c>
      <c r="C754" s="62">
        <v>0</v>
      </c>
      <c r="D754" s="62">
        <v>0</v>
      </c>
    </row>
    <row r="755" spans="1:4">
      <c r="A755" s="62" t="s">
        <v>906</v>
      </c>
      <c r="B755" s="62">
        <v>0</v>
      </c>
      <c r="C755" s="62">
        <v>0</v>
      </c>
      <c r="D755" s="62">
        <v>0</v>
      </c>
    </row>
    <row r="756" spans="1:4">
      <c r="A756" s="62" t="s">
        <v>907</v>
      </c>
      <c r="B756" s="62">
        <v>0</v>
      </c>
      <c r="C756" s="62">
        <v>0</v>
      </c>
      <c r="D756" s="62">
        <v>0</v>
      </c>
    </row>
    <row r="757" spans="1:4">
      <c r="A757" s="62" t="s">
        <v>908</v>
      </c>
      <c r="B757" s="62">
        <v>0</v>
      </c>
      <c r="C757" s="62">
        <v>0</v>
      </c>
      <c r="D757" s="62">
        <v>0</v>
      </c>
    </row>
    <row r="758" spans="1:4">
      <c r="A758" s="62" t="s">
        <v>909</v>
      </c>
      <c r="B758" s="62">
        <v>0</v>
      </c>
      <c r="C758" s="62">
        <v>0</v>
      </c>
      <c r="D758" s="62">
        <v>0</v>
      </c>
    </row>
    <row r="759" spans="1:4">
      <c r="A759" s="62" t="s">
        <v>910</v>
      </c>
      <c r="B759" s="62">
        <v>0</v>
      </c>
      <c r="C759" s="62">
        <v>0</v>
      </c>
      <c r="D759" s="62">
        <v>0</v>
      </c>
    </row>
    <row r="760" spans="1:4">
      <c r="A760" s="62" t="s">
        <v>911</v>
      </c>
      <c r="B760" s="62">
        <v>0</v>
      </c>
      <c r="C760" s="62">
        <v>0</v>
      </c>
      <c r="D760" s="62">
        <v>0</v>
      </c>
    </row>
    <row r="761" spans="1:4">
      <c r="A761" s="62" t="s">
        <v>912</v>
      </c>
      <c r="B761" s="62">
        <v>0</v>
      </c>
      <c r="C761" s="62">
        <v>0</v>
      </c>
      <c r="D761" s="62">
        <v>0</v>
      </c>
    </row>
    <row r="762" spans="1:4">
      <c r="A762" s="62" t="s">
        <v>913</v>
      </c>
      <c r="B762" s="62">
        <v>0</v>
      </c>
      <c r="C762" s="62">
        <v>0</v>
      </c>
      <c r="D762" s="62">
        <v>0</v>
      </c>
    </row>
    <row r="763" spans="1:4">
      <c r="A763" s="62" t="s">
        <v>914</v>
      </c>
      <c r="B763" s="62">
        <v>0</v>
      </c>
      <c r="C763" s="62">
        <v>0</v>
      </c>
      <c r="D763" s="62">
        <v>0</v>
      </c>
    </row>
    <row r="764" spans="1:4">
      <c r="A764" s="62" t="s">
        <v>915</v>
      </c>
      <c r="B764" s="62">
        <v>0</v>
      </c>
      <c r="C764" s="62">
        <v>0</v>
      </c>
      <c r="D764" s="62">
        <v>0</v>
      </c>
    </row>
    <row r="765" spans="1:4">
      <c r="A765" s="62" t="s">
        <v>916</v>
      </c>
      <c r="B765" s="62">
        <v>0</v>
      </c>
      <c r="C765" s="62">
        <v>0</v>
      </c>
      <c r="D765" s="62">
        <v>0</v>
      </c>
    </row>
    <row r="766" spans="1:4">
      <c r="A766" s="62" t="s">
        <v>917</v>
      </c>
      <c r="B766" s="62">
        <v>0</v>
      </c>
      <c r="C766" s="62">
        <v>0</v>
      </c>
      <c r="D766" s="62">
        <v>0</v>
      </c>
    </row>
    <row r="767" spans="1:4">
      <c r="A767" s="62" t="s">
        <v>918</v>
      </c>
      <c r="B767" s="62">
        <v>0</v>
      </c>
      <c r="C767" s="62">
        <v>0</v>
      </c>
      <c r="D767" s="62">
        <v>0</v>
      </c>
    </row>
    <row r="768" spans="1:4">
      <c r="A768" s="62" t="s">
        <v>919</v>
      </c>
      <c r="B768" s="62">
        <v>0</v>
      </c>
      <c r="C768" s="62">
        <v>0</v>
      </c>
      <c r="D768" s="62">
        <v>0</v>
      </c>
    </row>
    <row r="769" spans="1:4">
      <c r="A769" s="62" t="s">
        <v>920</v>
      </c>
      <c r="B769" s="62">
        <v>0</v>
      </c>
      <c r="C769" s="62">
        <v>0</v>
      </c>
      <c r="D769" s="62">
        <v>0</v>
      </c>
    </row>
    <row r="770" spans="1:4">
      <c r="A770" s="62" t="s">
        <v>921</v>
      </c>
      <c r="B770" s="62">
        <v>0</v>
      </c>
      <c r="C770" s="62">
        <v>0</v>
      </c>
      <c r="D770" s="62">
        <v>0</v>
      </c>
    </row>
    <row r="771" spans="1:4">
      <c r="A771" s="62" t="s">
        <v>922</v>
      </c>
      <c r="B771" s="62">
        <v>0</v>
      </c>
      <c r="C771" s="62">
        <v>0</v>
      </c>
      <c r="D771" s="62">
        <v>0</v>
      </c>
    </row>
    <row r="772" spans="1:4">
      <c r="A772" s="62" t="s">
        <v>923</v>
      </c>
      <c r="B772" s="62">
        <v>0</v>
      </c>
      <c r="C772" s="62">
        <v>0</v>
      </c>
      <c r="D772" s="62">
        <v>0</v>
      </c>
    </row>
    <row r="773" spans="1:4">
      <c r="A773" s="62" t="s">
        <v>924</v>
      </c>
      <c r="B773" s="62">
        <v>0</v>
      </c>
      <c r="C773" s="62">
        <v>0</v>
      </c>
      <c r="D773" s="62">
        <v>0</v>
      </c>
    </row>
    <row r="774" spans="1:4">
      <c r="A774" s="62" t="s">
        <v>925</v>
      </c>
      <c r="B774" s="62">
        <v>0</v>
      </c>
      <c r="C774" s="62">
        <v>0</v>
      </c>
      <c r="D774" s="62">
        <v>0</v>
      </c>
    </row>
    <row r="775" spans="1:4">
      <c r="A775" s="62" t="s">
        <v>926</v>
      </c>
      <c r="B775" s="62">
        <v>0</v>
      </c>
      <c r="C775" s="62">
        <v>0</v>
      </c>
      <c r="D775" s="62">
        <v>0</v>
      </c>
    </row>
    <row r="776" spans="1:4">
      <c r="A776" s="62" t="s">
        <v>927</v>
      </c>
      <c r="B776" s="62">
        <v>0</v>
      </c>
      <c r="C776" s="62">
        <v>0</v>
      </c>
      <c r="D776" s="62">
        <v>0</v>
      </c>
    </row>
    <row r="777" spans="1:4">
      <c r="A777" s="62" t="s">
        <v>928</v>
      </c>
      <c r="B777" s="62">
        <v>0</v>
      </c>
      <c r="C777" s="62">
        <v>0</v>
      </c>
      <c r="D777" s="62">
        <v>0</v>
      </c>
    </row>
    <row r="778" spans="1:4">
      <c r="A778" s="62" t="s">
        <v>929</v>
      </c>
      <c r="B778" s="62">
        <v>0</v>
      </c>
      <c r="C778" s="62">
        <v>0</v>
      </c>
      <c r="D778" s="62">
        <v>0</v>
      </c>
    </row>
    <row r="779" spans="1:4">
      <c r="A779" s="62" t="s">
        <v>930</v>
      </c>
      <c r="B779" s="62">
        <v>0</v>
      </c>
      <c r="C779" s="62">
        <v>0</v>
      </c>
      <c r="D779" s="62">
        <v>0</v>
      </c>
    </row>
    <row r="780" spans="1:4">
      <c r="A780" s="62" t="s">
        <v>931</v>
      </c>
      <c r="B780" s="62">
        <v>0</v>
      </c>
      <c r="C780" s="62">
        <v>0</v>
      </c>
      <c r="D780" s="62">
        <v>0</v>
      </c>
    </row>
    <row r="781" spans="1:4">
      <c r="A781" s="62" t="s">
        <v>932</v>
      </c>
      <c r="B781" s="62">
        <v>0</v>
      </c>
      <c r="C781" s="62">
        <v>0</v>
      </c>
      <c r="D781" s="62">
        <v>0</v>
      </c>
    </row>
    <row r="782" spans="1:4">
      <c r="A782" s="62" t="s">
        <v>933</v>
      </c>
      <c r="B782" s="62">
        <v>0</v>
      </c>
      <c r="C782" s="62">
        <v>0</v>
      </c>
      <c r="D782" s="62">
        <v>0</v>
      </c>
    </row>
    <row r="783" spans="1:4">
      <c r="A783" s="62" t="s">
        <v>934</v>
      </c>
      <c r="B783" s="62">
        <v>0</v>
      </c>
      <c r="C783" s="62">
        <v>0</v>
      </c>
      <c r="D783" s="62">
        <v>0</v>
      </c>
    </row>
    <row r="784" spans="1:4">
      <c r="A784" s="62" t="s">
        <v>935</v>
      </c>
      <c r="B784" s="62">
        <v>0</v>
      </c>
      <c r="C784" s="62">
        <v>0</v>
      </c>
      <c r="D784" s="62">
        <v>0</v>
      </c>
    </row>
    <row r="785" spans="1:4">
      <c r="A785" s="62" t="s">
        <v>936</v>
      </c>
      <c r="B785" s="62">
        <v>0</v>
      </c>
      <c r="C785" s="62">
        <v>0</v>
      </c>
      <c r="D785" s="62">
        <v>0</v>
      </c>
    </row>
    <row r="786" spans="1:4">
      <c r="A786" s="62" t="s">
        <v>937</v>
      </c>
      <c r="B786" s="62">
        <v>0</v>
      </c>
      <c r="C786" s="62">
        <v>0</v>
      </c>
      <c r="D786" s="62">
        <v>0</v>
      </c>
    </row>
    <row r="787" spans="1:4">
      <c r="A787" s="62" t="s">
        <v>938</v>
      </c>
      <c r="B787" s="62">
        <v>0</v>
      </c>
      <c r="C787" s="62">
        <v>0</v>
      </c>
      <c r="D787" s="62">
        <v>0</v>
      </c>
    </row>
    <row r="788" spans="1:4">
      <c r="A788" s="62" t="s">
        <v>939</v>
      </c>
      <c r="B788" s="62">
        <v>0</v>
      </c>
      <c r="C788" s="62">
        <v>0</v>
      </c>
      <c r="D788" s="62">
        <v>0</v>
      </c>
    </row>
    <row r="789" spans="1:4">
      <c r="A789" s="62" t="s">
        <v>940</v>
      </c>
      <c r="B789" s="62">
        <v>0</v>
      </c>
      <c r="C789" s="62">
        <v>0</v>
      </c>
      <c r="D789" s="62">
        <v>0</v>
      </c>
    </row>
    <row r="790" spans="1:4">
      <c r="A790" s="62" t="s">
        <v>941</v>
      </c>
      <c r="B790" s="62">
        <v>0</v>
      </c>
      <c r="C790" s="62">
        <v>0</v>
      </c>
      <c r="D790" s="62">
        <v>0</v>
      </c>
    </row>
    <row r="791" spans="1:4">
      <c r="A791" s="62" t="s">
        <v>942</v>
      </c>
      <c r="B791" s="62">
        <v>0</v>
      </c>
      <c r="C791" s="62">
        <v>0</v>
      </c>
      <c r="D791" s="62">
        <v>0</v>
      </c>
    </row>
    <row r="792" spans="1:4">
      <c r="A792" s="62" t="s">
        <v>943</v>
      </c>
      <c r="B792" s="62">
        <v>0</v>
      </c>
      <c r="C792" s="62">
        <v>0</v>
      </c>
      <c r="D792" s="62">
        <v>0</v>
      </c>
    </row>
    <row r="793" spans="1:4">
      <c r="A793" s="62" t="s">
        <v>944</v>
      </c>
      <c r="B793" s="62">
        <v>0</v>
      </c>
      <c r="C793" s="62">
        <v>0</v>
      </c>
      <c r="D793" s="62">
        <v>0</v>
      </c>
    </row>
    <row r="794" spans="1:4">
      <c r="A794" s="62" t="s">
        <v>945</v>
      </c>
      <c r="B794" s="62">
        <v>0</v>
      </c>
      <c r="C794" s="62">
        <v>0</v>
      </c>
      <c r="D794" s="62">
        <v>0</v>
      </c>
    </row>
    <row r="795" spans="1:4">
      <c r="A795" s="62" t="s">
        <v>946</v>
      </c>
      <c r="B795" s="62">
        <v>0</v>
      </c>
      <c r="C795" s="62">
        <v>0</v>
      </c>
      <c r="D795" s="62">
        <v>0</v>
      </c>
    </row>
    <row r="796" spans="1:4">
      <c r="A796" s="62" t="s">
        <v>947</v>
      </c>
      <c r="B796" s="62">
        <v>0</v>
      </c>
      <c r="C796" s="62">
        <v>0</v>
      </c>
      <c r="D796" s="62">
        <v>0</v>
      </c>
    </row>
    <row r="797" spans="1:4">
      <c r="A797" s="62" t="s">
        <v>948</v>
      </c>
      <c r="B797" s="62">
        <v>0</v>
      </c>
      <c r="C797" s="62">
        <v>0</v>
      </c>
      <c r="D797" s="62">
        <v>0</v>
      </c>
    </row>
    <row r="798" spans="1:4">
      <c r="A798" s="62" t="s">
        <v>949</v>
      </c>
      <c r="B798" s="62">
        <v>0</v>
      </c>
      <c r="C798" s="62">
        <v>0</v>
      </c>
      <c r="D798" s="62">
        <v>0</v>
      </c>
    </row>
    <row r="799" spans="1:4">
      <c r="A799" s="62" t="s">
        <v>950</v>
      </c>
      <c r="B799" s="62">
        <v>0</v>
      </c>
      <c r="C799" s="62">
        <v>0</v>
      </c>
      <c r="D799" s="62">
        <v>0</v>
      </c>
    </row>
    <row r="800" spans="1:4">
      <c r="A800" s="62" t="s">
        <v>951</v>
      </c>
      <c r="B800" s="62">
        <v>0</v>
      </c>
      <c r="C800" s="62">
        <v>0</v>
      </c>
      <c r="D800" s="62">
        <v>0</v>
      </c>
    </row>
    <row r="801" spans="1:4">
      <c r="A801" s="62" t="s">
        <v>952</v>
      </c>
      <c r="B801" s="62">
        <v>0</v>
      </c>
      <c r="C801" s="62">
        <v>0</v>
      </c>
      <c r="D801" s="62">
        <v>0</v>
      </c>
    </row>
    <row r="802" spans="1:4">
      <c r="A802" s="62" t="s">
        <v>953</v>
      </c>
      <c r="B802" s="62">
        <v>0</v>
      </c>
      <c r="C802" s="62">
        <v>0</v>
      </c>
      <c r="D802" s="62">
        <v>0</v>
      </c>
    </row>
    <row r="803" spans="1:4">
      <c r="A803" s="62" t="s">
        <v>954</v>
      </c>
      <c r="B803" s="62">
        <v>0</v>
      </c>
      <c r="C803" s="62">
        <v>0</v>
      </c>
      <c r="D803" s="62">
        <v>0</v>
      </c>
    </row>
    <row r="804" spans="1:4">
      <c r="A804" s="62" t="s">
        <v>955</v>
      </c>
      <c r="B804" s="62">
        <v>0</v>
      </c>
      <c r="C804" s="62">
        <v>0</v>
      </c>
      <c r="D804" s="62">
        <v>0</v>
      </c>
    </row>
    <row r="805" spans="1:4">
      <c r="A805" s="62" t="s">
        <v>956</v>
      </c>
      <c r="B805" s="62">
        <v>0</v>
      </c>
      <c r="C805" s="62">
        <v>0</v>
      </c>
      <c r="D805" s="62">
        <v>0</v>
      </c>
    </row>
    <row r="806" spans="1:4">
      <c r="A806" s="62" t="s">
        <v>957</v>
      </c>
      <c r="B806" s="62">
        <v>0</v>
      </c>
      <c r="C806" s="62">
        <v>0</v>
      </c>
      <c r="D806" s="62">
        <v>0</v>
      </c>
    </row>
    <row r="807" spans="1:4">
      <c r="A807" s="62" t="s">
        <v>958</v>
      </c>
      <c r="B807" s="62">
        <v>0</v>
      </c>
      <c r="C807" s="62">
        <v>0</v>
      </c>
      <c r="D807" s="62">
        <v>0</v>
      </c>
    </row>
    <row r="808" spans="1:4">
      <c r="A808" s="62" t="s">
        <v>959</v>
      </c>
      <c r="B808" s="62">
        <v>0</v>
      </c>
      <c r="C808" s="62">
        <v>0</v>
      </c>
      <c r="D808" s="62">
        <v>0</v>
      </c>
    </row>
    <row r="809" spans="1:4">
      <c r="A809" s="62" t="s">
        <v>960</v>
      </c>
      <c r="B809" s="62">
        <v>0</v>
      </c>
      <c r="C809" s="62">
        <v>0</v>
      </c>
      <c r="D809" s="62">
        <v>0</v>
      </c>
    </row>
    <row r="810" spans="1:4">
      <c r="A810" s="62" t="s">
        <v>961</v>
      </c>
      <c r="B810" s="62">
        <v>0</v>
      </c>
      <c r="C810" s="62">
        <v>0</v>
      </c>
      <c r="D810" s="62">
        <v>0</v>
      </c>
    </row>
    <row r="811" spans="1:4">
      <c r="A811" s="62" t="s">
        <v>962</v>
      </c>
      <c r="B811" s="62">
        <v>0</v>
      </c>
      <c r="C811" s="62">
        <v>0</v>
      </c>
      <c r="D811" s="62">
        <v>0</v>
      </c>
    </row>
    <row r="812" spans="1:4">
      <c r="A812" s="62" t="s">
        <v>963</v>
      </c>
      <c r="B812" s="62">
        <v>0</v>
      </c>
      <c r="C812" s="62">
        <v>0</v>
      </c>
      <c r="D812" s="62">
        <v>0</v>
      </c>
    </row>
    <row r="813" spans="1:4">
      <c r="A813" s="62" t="s">
        <v>964</v>
      </c>
      <c r="B813" s="62">
        <v>0</v>
      </c>
      <c r="C813" s="62">
        <v>0</v>
      </c>
      <c r="D813" s="62">
        <v>0</v>
      </c>
    </row>
    <row r="814" spans="1:4">
      <c r="A814" s="62" t="s">
        <v>965</v>
      </c>
      <c r="B814" s="62">
        <v>0</v>
      </c>
      <c r="C814" s="62">
        <v>0</v>
      </c>
      <c r="D814" s="62">
        <v>0</v>
      </c>
    </row>
    <row r="815" spans="1:4">
      <c r="A815" s="62" t="s">
        <v>966</v>
      </c>
      <c r="B815" s="62">
        <v>0</v>
      </c>
      <c r="C815" s="62">
        <v>0</v>
      </c>
      <c r="D815" s="62">
        <v>0</v>
      </c>
    </row>
    <row r="816" spans="1:4">
      <c r="A816" s="62" t="s">
        <v>967</v>
      </c>
      <c r="B816" s="62">
        <v>0</v>
      </c>
      <c r="C816" s="62">
        <v>0</v>
      </c>
      <c r="D816" s="62">
        <v>0</v>
      </c>
    </row>
    <row r="817" spans="1:4">
      <c r="A817" s="62" t="s">
        <v>968</v>
      </c>
      <c r="B817" s="62">
        <v>0</v>
      </c>
      <c r="C817" s="62">
        <v>0</v>
      </c>
      <c r="D817" s="62">
        <v>0</v>
      </c>
    </row>
    <row r="818" spans="1:4">
      <c r="A818" s="62" t="s">
        <v>969</v>
      </c>
      <c r="B818" s="62">
        <v>0</v>
      </c>
      <c r="C818" s="62">
        <v>0</v>
      </c>
      <c r="D818" s="62">
        <v>0</v>
      </c>
    </row>
    <row r="819" spans="1:4">
      <c r="A819" s="62" t="s">
        <v>970</v>
      </c>
      <c r="B819" s="62">
        <v>0</v>
      </c>
      <c r="C819" s="62">
        <v>0</v>
      </c>
      <c r="D819" s="62">
        <v>0</v>
      </c>
    </row>
    <row r="820" spans="1:4">
      <c r="A820" s="62" t="s">
        <v>971</v>
      </c>
      <c r="B820" s="62">
        <v>0</v>
      </c>
      <c r="C820" s="62">
        <v>0</v>
      </c>
      <c r="D820" s="62">
        <v>0</v>
      </c>
    </row>
    <row r="821" spans="1:4">
      <c r="A821" s="62" t="s">
        <v>972</v>
      </c>
      <c r="B821" s="62">
        <v>0</v>
      </c>
      <c r="C821" s="62">
        <v>0</v>
      </c>
      <c r="D821" s="62">
        <v>0</v>
      </c>
    </row>
    <row r="822" spans="1:4">
      <c r="A822" s="62" t="s">
        <v>973</v>
      </c>
      <c r="B822" s="62">
        <v>0</v>
      </c>
      <c r="C822" s="62">
        <v>0</v>
      </c>
      <c r="D822" s="62">
        <v>0</v>
      </c>
    </row>
    <row r="823" spans="1:4">
      <c r="A823" s="62" t="s">
        <v>974</v>
      </c>
      <c r="B823" s="62">
        <v>0</v>
      </c>
      <c r="C823" s="62">
        <v>0</v>
      </c>
      <c r="D823" s="62">
        <v>0</v>
      </c>
    </row>
    <row r="824" spans="1:4">
      <c r="A824" s="62" t="s">
        <v>975</v>
      </c>
      <c r="B824" s="62">
        <v>0</v>
      </c>
      <c r="C824" s="62">
        <v>0</v>
      </c>
      <c r="D824" s="62">
        <v>0</v>
      </c>
    </row>
    <row r="825" spans="1:4">
      <c r="A825" s="62" t="s">
        <v>976</v>
      </c>
      <c r="B825" s="62">
        <v>0</v>
      </c>
      <c r="C825" s="62">
        <v>0</v>
      </c>
      <c r="D825" s="62">
        <v>0</v>
      </c>
    </row>
    <row r="826" spans="1:4">
      <c r="A826" s="62" t="s">
        <v>977</v>
      </c>
      <c r="B826" s="62">
        <v>0</v>
      </c>
      <c r="C826" s="62">
        <v>0</v>
      </c>
      <c r="D826" s="62">
        <v>0</v>
      </c>
    </row>
    <row r="827" spans="1:4">
      <c r="A827" s="62" t="s">
        <v>978</v>
      </c>
      <c r="B827" s="62">
        <v>0</v>
      </c>
      <c r="C827" s="62">
        <v>0</v>
      </c>
      <c r="D827" s="62">
        <v>0</v>
      </c>
    </row>
    <row r="828" spans="1:4">
      <c r="A828" s="62" t="s">
        <v>979</v>
      </c>
      <c r="B828" s="62">
        <v>0</v>
      </c>
      <c r="C828" s="62">
        <v>0</v>
      </c>
      <c r="D828" s="62">
        <v>0</v>
      </c>
    </row>
    <row r="829" spans="1:4">
      <c r="A829" s="62" t="s">
        <v>980</v>
      </c>
      <c r="B829" s="62">
        <v>0</v>
      </c>
      <c r="C829" s="62">
        <v>0</v>
      </c>
      <c r="D829" s="62">
        <v>0</v>
      </c>
    </row>
    <row r="830" spans="1:4">
      <c r="A830" s="62" t="s">
        <v>981</v>
      </c>
      <c r="B830" s="62">
        <v>0</v>
      </c>
      <c r="C830" s="62">
        <v>0</v>
      </c>
      <c r="D830" s="62">
        <v>0</v>
      </c>
    </row>
    <row r="831" spans="1:4">
      <c r="A831" s="62" t="s">
        <v>169</v>
      </c>
      <c r="B831" s="62">
        <v>0</v>
      </c>
      <c r="C831" s="62">
        <v>0</v>
      </c>
      <c r="D831" s="62">
        <v>0</v>
      </c>
    </row>
    <row r="832" spans="1:4">
      <c r="A832" s="62" t="s">
        <v>982</v>
      </c>
      <c r="B832" s="62">
        <v>0</v>
      </c>
      <c r="C832" s="62">
        <v>0</v>
      </c>
      <c r="D832" s="62">
        <v>0</v>
      </c>
    </row>
    <row r="833" spans="1:4">
      <c r="A833" s="62" t="s">
        <v>983</v>
      </c>
      <c r="B833" s="62">
        <v>0</v>
      </c>
      <c r="C833" s="62">
        <v>0</v>
      </c>
      <c r="D833" s="62">
        <v>0</v>
      </c>
    </row>
    <row r="834" spans="1:4">
      <c r="A834" s="62" t="s">
        <v>984</v>
      </c>
      <c r="B834" s="62">
        <v>0</v>
      </c>
      <c r="C834" s="62">
        <v>0</v>
      </c>
      <c r="D834" s="62">
        <v>0</v>
      </c>
    </row>
    <row r="835" spans="1:4">
      <c r="A835" s="62" t="s">
        <v>985</v>
      </c>
      <c r="B835" s="62">
        <v>0</v>
      </c>
      <c r="C835" s="62">
        <v>0</v>
      </c>
      <c r="D835" s="62">
        <v>0</v>
      </c>
    </row>
    <row r="836" spans="1:4">
      <c r="A836" s="62" t="s">
        <v>986</v>
      </c>
      <c r="B836" s="62">
        <v>0</v>
      </c>
      <c r="C836" s="62">
        <v>0</v>
      </c>
      <c r="D836" s="62">
        <v>0</v>
      </c>
    </row>
    <row r="837" spans="1:4">
      <c r="A837" s="62" t="s">
        <v>987</v>
      </c>
      <c r="B837" s="62">
        <v>0</v>
      </c>
      <c r="C837" s="62">
        <v>0</v>
      </c>
      <c r="D837" s="62">
        <v>0</v>
      </c>
    </row>
    <row r="838" spans="1:4">
      <c r="A838" s="62" t="s">
        <v>988</v>
      </c>
      <c r="B838" s="62">
        <v>0</v>
      </c>
      <c r="C838" s="62">
        <v>0</v>
      </c>
      <c r="D838" s="62">
        <v>0</v>
      </c>
    </row>
    <row r="839" spans="1:4">
      <c r="A839" s="62" t="s">
        <v>989</v>
      </c>
      <c r="B839" s="62">
        <v>0</v>
      </c>
      <c r="C839" s="62">
        <v>0</v>
      </c>
      <c r="D839" s="62">
        <v>0</v>
      </c>
    </row>
    <row r="840" spans="1:4">
      <c r="A840" s="62" t="s">
        <v>990</v>
      </c>
      <c r="B840" s="62">
        <v>0</v>
      </c>
      <c r="C840" s="62">
        <v>0</v>
      </c>
      <c r="D840" s="62">
        <v>0</v>
      </c>
    </row>
    <row r="841" spans="1:4">
      <c r="A841" s="62" t="s">
        <v>991</v>
      </c>
      <c r="B841" s="62">
        <v>0</v>
      </c>
      <c r="C841" s="62">
        <v>0</v>
      </c>
      <c r="D841" s="62">
        <v>0</v>
      </c>
    </row>
    <row r="842" spans="1:4">
      <c r="A842" s="62" t="s">
        <v>992</v>
      </c>
      <c r="B842" s="62">
        <v>0</v>
      </c>
      <c r="C842" s="62">
        <v>0</v>
      </c>
      <c r="D842" s="62">
        <v>0</v>
      </c>
    </row>
    <row r="843" spans="1:4">
      <c r="A843" s="62" t="s">
        <v>993</v>
      </c>
      <c r="B843" s="62">
        <v>0</v>
      </c>
      <c r="C843" s="62">
        <v>0</v>
      </c>
      <c r="D843" s="62">
        <v>0</v>
      </c>
    </row>
    <row r="844" spans="1:4">
      <c r="A844" s="62" t="s">
        <v>994</v>
      </c>
      <c r="B844" s="62">
        <v>0</v>
      </c>
      <c r="C844" s="62">
        <v>0</v>
      </c>
      <c r="D844" s="62">
        <v>0</v>
      </c>
    </row>
    <row r="845" spans="1:4">
      <c r="A845" s="62" t="s">
        <v>995</v>
      </c>
      <c r="B845" s="62">
        <v>0</v>
      </c>
      <c r="C845" s="62">
        <v>0</v>
      </c>
      <c r="D845" s="62">
        <v>0</v>
      </c>
    </row>
    <row r="846" spans="1:4">
      <c r="A846" s="62" t="s">
        <v>996</v>
      </c>
      <c r="B846" s="62">
        <v>0</v>
      </c>
      <c r="C846" s="62">
        <v>0</v>
      </c>
      <c r="D846" s="62">
        <v>0</v>
      </c>
    </row>
    <row r="847" spans="1:4">
      <c r="A847" s="62" t="s">
        <v>997</v>
      </c>
      <c r="B847" s="62">
        <v>0</v>
      </c>
      <c r="C847" s="62">
        <v>0</v>
      </c>
      <c r="D847" s="62">
        <v>0</v>
      </c>
    </row>
    <row r="848" spans="1:4">
      <c r="A848" s="62" t="s">
        <v>998</v>
      </c>
      <c r="B848" s="62">
        <v>0</v>
      </c>
      <c r="C848" s="62">
        <v>0</v>
      </c>
      <c r="D848" s="62">
        <v>0</v>
      </c>
    </row>
    <row r="849" spans="1:4">
      <c r="A849" s="62" t="s">
        <v>999</v>
      </c>
      <c r="B849" s="62">
        <v>0</v>
      </c>
      <c r="C849" s="62">
        <v>0</v>
      </c>
      <c r="D849" s="62">
        <v>0</v>
      </c>
    </row>
    <row r="850" spans="1:4">
      <c r="A850" s="62" t="s">
        <v>1000</v>
      </c>
      <c r="B850" s="62">
        <v>0</v>
      </c>
      <c r="C850" s="62">
        <v>0</v>
      </c>
      <c r="D850" s="62">
        <v>0</v>
      </c>
    </row>
    <row r="851" spans="1:4">
      <c r="A851" s="62" t="s">
        <v>1001</v>
      </c>
      <c r="B851" s="62">
        <v>0</v>
      </c>
      <c r="C851" s="62">
        <v>0</v>
      </c>
      <c r="D851" s="62">
        <v>0</v>
      </c>
    </row>
    <row r="852" spans="1:4">
      <c r="A852" s="62" t="s">
        <v>1002</v>
      </c>
      <c r="B852" s="62">
        <v>0</v>
      </c>
      <c r="C852" s="62">
        <v>0</v>
      </c>
      <c r="D852" s="62">
        <v>0</v>
      </c>
    </row>
    <row r="853" spans="1:4">
      <c r="A853" s="62" t="s">
        <v>1003</v>
      </c>
      <c r="B853" s="62">
        <v>0</v>
      </c>
      <c r="C853" s="62">
        <v>0</v>
      </c>
      <c r="D853" s="62">
        <v>0</v>
      </c>
    </row>
    <row r="854" spans="1:4">
      <c r="A854" s="62" t="s">
        <v>1004</v>
      </c>
      <c r="B854" s="62">
        <v>0</v>
      </c>
      <c r="C854" s="62">
        <v>0</v>
      </c>
      <c r="D854" s="62">
        <v>0</v>
      </c>
    </row>
    <row r="855" spans="1:4">
      <c r="A855" s="62" t="s">
        <v>1005</v>
      </c>
      <c r="B855" s="62">
        <v>0</v>
      </c>
      <c r="C855" s="62">
        <v>0</v>
      </c>
      <c r="D855" s="62">
        <v>0</v>
      </c>
    </row>
    <row r="856" spans="1:4">
      <c r="A856" s="62" t="s">
        <v>1006</v>
      </c>
      <c r="B856" s="62">
        <v>0</v>
      </c>
      <c r="C856" s="62">
        <v>0</v>
      </c>
      <c r="D856" s="62">
        <v>0</v>
      </c>
    </row>
    <row r="857" spans="1:4">
      <c r="A857" s="62" t="s">
        <v>1007</v>
      </c>
      <c r="B857" s="62">
        <v>0</v>
      </c>
      <c r="C857" s="62">
        <v>0</v>
      </c>
      <c r="D857" s="62">
        <v>0</v>
      </c>
    </row>
    <row r="858" spans="1:4">
      <c r="A858" s="62" t="s">
        <v>1008</v>
      </c>
      <c r="B858" s="62">
        <v>0</v>
      </c>
      <c r="C858" s="62">
        <v>0</v>
      </c>
      <c r="D858" s="62">
        <v>0</v>
      </c>
    </row>
    <row r="859" spans="1:4">
      <c r="A859" s="62" t="s">
        <v>1009</v>
      </c>
      <c r="B859" s="62">
        <v>0</v>
      </c>
      <c r="C859" s="62">
        <v>0</v>
      </c>
      <c r="D859" s="62">
        <v>0</v>
      </c>
    </row>
    <row r="860" spans="1:4">
      <c r="A860" s="62" t="s">
        <v>1010</v>
      </c>
      <c r="B860" s="62">
        <v>0</v>
      </c>
      <c r="C860" s="62">
        <v>0</v>
      </c>
      <c r="D860" s="62">
        <v>0</v>
      </c>
    </row>
    <row r="861" spans="1:4">
      <c r="A861" s="62" t="s">
        <v>1011</v>
      </c>
      <c r="B861" s="62">
        <v>0</v>
      </c>
      <c r="C861" s="62">
        <v>0</v>
      </c>
      <c r="D861" s="62">
        <v>0</v>
      </c>
    </row>
    <row r="862" spans="1:4">
      <c r="A862" s="62" t="s">
        <v>1012</v>
      </c>
      <c r="B862" s="62">
        <v>0</v>
      </c>
      <c r="C862" s="62">
        <v>0</v>
      </c>
      <c r="D862" s="62">
        <v>0</v>
      </c>
    </row>
    <row r="863" spans="1:4">
      <c r="A863" s="62" t="s">
        <v>1013</v>
      </c>
      <c r="B863" s="62">
        <v>0</v>
      </c>
      <c r="C863" s="62">
        <v>0</v>
      </c>
      <c r="D863" s="62">
        <v>0</v>
      </c>
    </row>
    <row r="864" spans="1:4">
      <c r="A864" s="62" t="s">
        <v>1014</v>
      </c>
      <c r="B864" s="62">
        <v>0</v>
      </c>
      <c r="C864" s="62">
        <v>0</v>
      </c>
      <c r="D864" s="62">
        <v>0</v>
      </c>
    </row>
    <row r="865" spans="1:4">
      <c r="A865" s="62" t="s">
        <v>1015</v>
      </c>
      <c r="B865" s="62">
        <v>0</v>
      </c>
      <c r="C865" s="62">
        <v>0</v>
      </c>
      <c r="D865" s="62">
        <v>0</v>
      </c>
    </row>
    <row r="866" spans="1:4">
      <c r="A866" s="62" t="s">
        <v>1016</v>
      </c>
      <c r="B866" s="62">
        <v>0</v>
      </c>
      <c r="C866" s="62">
        <v>0</v>
      </c>
      <c r="D866" s="62">
        <v>0</v>
      </c>
    </row>
    <row r="867" spans="1:4">
      <c r="A867" s="62" t="s">
        <v>1017</v>
      </c>
      <c r="B867" s="62">
        <v>0</v>
      </c>
      <c r="C867" s="62">
        <v>0</v>
      </c>
      <c r="D867" s="62">
        <v>0</v>
      </c>
    </row>
    <row r="868" spans="1:4">
      <c r="A868" s="62" t="s">
        <v>1018</v>
      </c>
      <c r="B868" s="62">
        <v>0</v>
      </c>
      <c r="C868" s="62">
        <v>0</v>
      </c>
      <c r="D868" s="62">
        <v>0</v>
      </c>
    </row>
    <row r="869" spans="1:4">
      <c r="A869" s="62" t="s">
        <v>1019</v>
      </c>
      <c r="B869" s="62">
        <v>0</v>
      </c>
      <c r="C869" s="62">
        <v>0</v>
      </c>
      <c r="D869" s="62">
        <v>0</v>
      </c>
    </row>
    <row r="870" spans="1:4">
      <c r="A870" s="62" t="s">
        <v>1020</v>
      </c>
      <c r="B870" s="62">
        <v>0</v>
      </c>
      <c r="C870" s="62">
        <v>0</v>
      </c>
      <c r="D870" s="62">
        <v>0</v>
      </c>
    </row>
    <row r="871" spans="1:4">
      <c r="A871" s="62" t="s">
        <v>1021</v>
      </c>
      <c r="B871" s="62">
        <v>0</v>
      </c>
      <c r="C871" s="62">
        <v>0</v>
      </c>
      <c r="D871" s="62">
        <v>0</v>
      </c>
    </row>
    <row r="872" spans="1:4">
      <c r="A872" s="62" t="s">
        <v>1022</v>
      </c>
      <c r="B872" s="62">
        <v>0</v>
      </c>
      <c r="C872" s="62">
        <v>0</v>
      </c>
      <c r="D872" s="62">
        <v>0</v>
      </c>
    </row>
    <row r="873" spans="1:4">
      <c r="A873" s="62" t="s">
        <v>1023</v>
      </c>
      <c r="B873" s="62">
        <v>0</v>
      </c>
      <c r="C873" s="62">
        <v>0</v>
      </c>
      <c r="D873" s="62">
        <v>0</v>
      </c>
    </row>
    <row r="874" spans="1:4">
      <c r="A874" s="62" t="s">
        <v>1024</v>
      </c>
      <c r="B874" s="62">
        <v>0</v>
      </c>
      <c r="C874" s="62">
        <v>0</v>
      </c>
      <c r="D874" s="62">
        <v>0</v>
      </c>
    </row>
    <row r="875" spans="1:4">
      <c r="A875" s="62" t="s">
        <v>1025</v>
      </c>
      <c r="B875" s="62">
        <v>0</v>
      </c>
      <c r="C875" s="62">
        <v>0</v>
      </c>
      <c r="D875" s="62">
        <v>0</v>
      </c>
    </row>
    <row r="876" spans="1:4">
      <c r="A876" s="62" t="s">
        <v>1026</v>
      </c>
      <c r="B876" s="62">
        <v>0</v>
      </c>
      <c r="C876" s="62">
        <v>0</v>
      </c>
      <c r="D876" s="62">
        <v>0</v>
      </c>
    </row>
    <row r="877" spans="1:4">
      <c r="A877" s="62" t="s">
        <v>1027</v>
      </c>
      <c r="B877" s="62">
        <v>0</v>
      </c>
      <c r="C877" s="62">
        <v>0</v>
      </c>
      <c r="D877" s="62">
        <v>0</v>
      </c>
    </row>
    <row r="878" spans="1:4">
      <c r="A878" s="62" t="s">
        <v>1028</v>
      </c>
      <c r="B878" s="62">
        <v>0</v>
      </c>
      <c r="C878" s="62">
        <v>0</v>
      </c>
      <c r="D878" s="62">
        <v>0</v>
      </c>
    </row>
    <row r="879" spans="1:4">
      <c r="A879" s="62" t="s">
        <v>1029</v>
      </c>
      <c r="B879" s="62">
        <v>0</v>
      </c>
      <c r="C879" s="62">
        <v>0</v>
      </c>
      <c r="D879" s="62">
        <v>0</v>
      </c>
    </row>
    <row r="880" spans="1:4">
      <c r="A880" s="62" t="s">
        <v>1030</v>
      </c>
      <c r="B880" s="62">
        <v>0</v>
      </c>
      <c r="C880" s="62">
        <v>0</v>
      </c>
      <c r="D880" s="62">
        <v>0</v>
      </c>
    </row>
    <row r="881" spans="1:4">
      <c r="A881" s="62" t="s">
        <v>1031</v>
      </c>
      <c r="B881" s="62">
        <v>0</v>
      </c>
      <c r="C881" s="62">
        <v>0</v>
      </c>
      <c r="D881" s="62">
        <v>0</v>
      </c>
    </row>
    <row r="882" spans="1:4">
      <c r="A882" s="62" t="s">
        <v>1032</v>
      </c>
      <c r="B882" s="62">
        <v>0</v>
      </c>
      <c r="C882" s="62">
        <v>0</v>
      </c>
      <c r="D882" s="62">
        <v>0</v>
      </c>
    </row>
    <row r="883" spans="1:4">
      <c r="A883" s="62" t="s">
        <v>1033</v>
      </c>
      <c r="B883" s="62">
        <v>0</v>
      </c>
      <c r="C883" s="62">
        <v>0</v>
      </c>
      <c r="D883" s="62">
        <v>0</v>
      </c>
    </row>
    <row r="884" spans="1:4">
      <c r="A884" s="62" t="s">
        <v>1034</v>
      </c>
      <c r="B884" s="62">
        <v>0</v>
      </c>
      <c r="C884" s="62">
        <v>0</v>
      </c>
      <c r="D884" s="62">
        <v>0</v>
      </c>
    </row>
    <row r="885" spans="1:4">
      <c r="A885" s="62" t="s">
        <v>1035</v>
      </c>
      <c r="B885" s="62">
        <v>0</v>
      </c>
      <c r="C885" s="62">
        <v>0</v>
      </c>
      <c r="D885" s="62">
        <v>0</v>
      </c>
    </row>
    <row r="886" spans="1:4">
      <c r="A886" s="62" t="s">
        <v>1036</v>
      </c>
      <c r="B886" s="62">
        <v>0</v>
      </c>
      <c r="C886" s="62">
        <v>0</v>
      </c>
      <c r="D886" s="62">
        <v>0</v>
      </c>
    </row>
    <row r="887" spans="1:4">
      <c r="A887" s="62" t="s">
        <v>1037</v>
      </c>
      <c r="B887" s="62">
        <v>0</v>
      </c>
      <c r="C887" s="62">
        <v>0</v>
      </c>
      <c r="D887" s="62">
        <v>0</v>
      </c>
    </row>
    <row r="888" spans="1:4">
      <c r="A888" s="62" t="s">
        <v>1038</v>
      </c>
      <c r="B888" s="62">
        <v>0</v>
      </c>
      <c r="C888" s="62">
        <v>0</v>
      </c>
      <c r="D888" s="62">
        <v>0</v>
      </c>
    </row>
    <row r="889" spans="1:4">
      <c r="A889" s="62" t="s">
        <v>1039</v>
      </c>
      <c r="B889" s="62">
        <v>0</v>
      </c>
      <c r="C889" s="62">
        <v>0</v>
      </c>
      <c r="D889" s="62">
        <v>0</v>
      </c>
    </row>
    <row r="890" spans="1:4">
      <c r="A890" s="62" t="s">
        <v>1040</v>
      </c>
      <c r="B890" s="62">
        <v>0</v>
      </c>
      <c r="C890" s="62">
        <v>0</v>
      </c>
      <c r="D890" s="62">
        <v>0</v>
      </c>
    </row>
    <row r="891" spans="1:4">
      <c r="A891" s="62" t="s">
        <v>1041</v>
      </c>
      <c r="B891" s="62">
        <v>0</v>
      </c>
      <c r="C891" s="62">
        <v>0</v>
      </c>
      <c r="D891" s="62">
        <v>0</v>
      </c>
    </row>
    <row r="892" spans="1:4">
      <c r="A892" s="62" t="s">
        <v>1042</v>
      </c>
      <c r="B892" s="62">
        <v>0</v>
      </c>
      <c r="C892" s="62">
        <v>0</v>
      </c>
      <c r="D892" s="62">
        <v>0</v>
      </c>
    </row>
    <row r="893" spans="1:4">
      <c r="A893" s="62" t="s">
        <v>1043</v>
      </c>
      <c r="B893" s="62">
        <v>0</v>
      </c>
      <c r="C893" s="62">
        <v>0</v>
      </c>
      <c r="D893" s="62">
        <v>0</v>
      </c>
    </row>
    <row r="894" spans="1:4">
      <c r="A894" s="62" t="s">
        <v>1044</v>
      </c>
      <c r="B894" s="62">
        <v>0</v>
      </c>
      <c r="C894" s="62">
        <v>0</v>
      </c>
      <c r="D894" s="62">
        <v>0</v>
      </c>
    </row>
    <row r="895" spans="1:4">
      <c r="A895" s="62" t="s">
        <v>1045</v>
      </c>
      <c r="B895" s="62">
        <v>0</v>
      </c>
      <c r="C895" s="62">
        <v>0</v>
      </c>
      <c r="D895" s="62">
        <v>0</v>
      </c>
    </row>
    <row r="896" spans="1:4">
      <c r="A896" s="62" t="s">
        <v>1046</v>
      </c>
      <c r="B896" s="62">
        <v>0</v>
      </c>
      <c r="C896" s="62">
        <v>0</v>
      </c>
      <c r="D896" s="62">
        <v>0</v>
      </c>
    </row>
    <row r="897" spans="1:4">
      <c r="A897" s="62" t="s">
        <v>1047</v>
      </c>
      <c r="B897" s="62">
        <v>0</v>
      </c>
      <c r="C897" s="62">
        <v>0</v>
      </c>
      <c r="D897" s="62">
        <v>0</v>
      </c>
    </row>
    <row r="898" spans="1:4">
      <c r="A898" s="62" t="s">
        <v>1048</v>
      </c>
      <c r="B898" s="62">
        <v>0</v>
      </c>
      <c r="C898" s="62">
        <v>0</v>
      </c>
      <c r="D898" s="62">
        <v>0</v>
      </c>
    </row>
    <row r="899" spans="1:4">
      <c r="A899" s="62" t="s">
        <v>1049</v>
      </c>
      <c r="B899" s="62">
        <v>0</v>
      </c>
      <c r="C899" s="62">
        <v>0</v>
      </c>
      <c r="D899" s="62">
        <v>0</v>
      </c>
    </row>
    <row r="900" spans="1:4">
      <c r="A900" s="62" t="s">
        <v>1050</v>
      </c>
      <c r="B900" s="62">
        <v>0</v>
      </c>
      <c r="C900" s="62">
        <v>0</v>
      </c>
      <c r="D900" s="62">
        <v>0</v>
      </c>
    </row>
    <row r="901" spans="1:4">
      <c r="A901" s="62" t="s">
        <v>1051</v>
      </c>
      <c r="B901" s="62">
        <v>0</v>
      </c>
      <c r="C901" s="62">
        <v>0</v>
      </c>
      <c r="D901" s="62">
        <v>0</v>
      </c>
    </row>
    <row r="902" spans="1:4">
      <c r="A902" s="62" t="s">
        <v>1052</v>
      </c>
      <c r="B902" s="62">
        <v>0</v>
      </c>
      <c r="C902" s="62">
        <v>0</v>
      </c>
      <c r="D902" s="62">
        <v>0</v>
      </c>
    </row>
    <row r="903" spans="1:4">
      <c r="A903" s="62" t="s">
        <v>1053</v>
      </c>
      <c r="B903" s="62">
        <v>0</v>
      </c>
      <c r="C903" s="62">
        <v>0</v>
      </c>
      <c r="D903" s="62">
        <v>0</v>
      </c>
    </row>
    <row r="904" spans="1:4">
      <c r="A904" s="62" t="s">
        <v>1054</v>
      </c>
      <c r="B904" s="62">
        <v>0</v>
      </c>
      <c r="C904" s="62">
        <v>0</v>
      </c>
      <c r="D904" s="62">
        <v>0</v>
      </c>
    </row>
    <row r="905" spans="1:4">
      <c r="A905" s="62" t="s">
        <v>1055</v>
      </c>
      <c r="B905" s="62">
        <v>0</v>
      </c>
      <c r="C905" s="62">
        <v>0</v>
      </c>
      <c r="D905" s="62">
        <v>0</v>
      </c>
    </row>
    <row r="906" spans="1:4">
      <c r="A906" s="62" t="s">
        <v>1056</v>
      </c>
      <c r="B906" s="62">
        <v>0</v>
      </c>
      <c r="C906" s="62">
        <v>0</v>
      </c>
      <c r="D906" s="62">
        <v>0</v>
      </c>
    </row>
    <row r="907" spans="1:4">
      <c r="A907" s="62" t="s">
        <v>1057</v>
      </c>
      <c r="B907" s="62">
        <v>0</v>
      </c>
      <c r="C907" s="62">
        <v>0</v>
      </c>
      <c r="D907" s="62">
        <v>0</v>
      </c>
    </row>
    <row r="908" spans="1:4">
      <c r="A908" s="62" t="s">
        <v>1058</v>
      </c>
      <c r="B908" s="62">
        <v>0</v>
      </c>
      <c r="C908" s="62">
        <v>0</v>
      </c>
      <c r="D908" s="62">
        <v>0</v>
      </c>
    </row>
    <row r="909" spans="1:4">
      <c r="A909" s="62" t="s">
        <v>1059</v>
      </c>
      <c r="B909" s="62">
        <v>0</v>
      </c>
      <c r="C909" s="62">
        <v>0</v>
      </c>
      <c r="D909" s="62">
        <v>0</v>
      </c>
    </row>
    <row r="910" spans="1:4">
      <c r="A910" s="62" t="s">
        <v>1060</v>
      </c>
      <c r="B910" s="62">
        <v>0</v>
      </c>
      <c r="C910" s="62">
        <v>0</v>
      </c>
      <c r="D910" s="62">
        <v>0</v>
      </c>
    </row>
    <row r="911" spans="1:4">
      <c r="A911" s="62" t="s">
        <v>1061</v>
      </c>
      <c r="B911" s="62">
        <v>0</v>
      </c>
      <c r="C911" s="62">
        <v>0</v>
      </c>
      <c r="D911" s="62">
        <v>0</v>
      </c>
    </row>
    <row r="912" spans="1:4">
      <c r="A912" s="62" t="s">
        <v>1062</v>
      </c>
      <c r="B912" s="62">
        <v>0</v>
      </c>
      <c r="C912" s="62">
        <v>0</v>
      </c>
      <c r="D912" s="62">
        <v>0</v>
      </c>
    </row>
    <row r="913" spans="1:4">
      <c r="A913" s="62" t="s">
        <v>1063</v>
      </c>
      <c r="B913" s="62">
        <v>0</v>
      </c>
      <c r="C913" s="62">
        <v>0</v>
      </c>
      <c r="D913" s="62">
        <v>0</v>
      </c>
    </row>
    <row r="914" spans="1:4">
      <c r="A914" s="62" t="s">
        <v>1064</v>
      </c>
      <c r="B914" s="62">
        <v>0</v>
      </c>
      <c r="C914" s="62">
        <v>0</v>
      </c>
      <c r="D914" s="62">
        <v>0</v>
      </c>
    </row>
    <row r="915" spans="1:4">
      <c r="A915" s="62" t="s">
        <v>1065</v>
      </c>
      <c r="B915" s="62">
        <v>0</v>
      </c>
      <c r="C915" s="62">
        <v>0</v>
      </c>
      <c r="D915" s="62">
        <v>0</v>
      </c>
    </row>
    <row r="916" spans="1:4">
      <c r="A916" s="62" t="s">
        <v>1066</v>
      </c>
      <c r="B916" s="62">
        <v>0</v>
      </c>
      <c r="C916" s="62">
        <v>0</v>
      </c>
      <c r="D916" s="62">
        <v>0</v>
      </c>
    </row>
    <row r="917" spans="1:4">
      <c r="A917" s="62" t="s">
        <v>1067</v>
      </c>
      <c r="B917" s="62">
        <v>0</v>
      </c>
      <c r="C917" s="62">
        <v>0</v>
      </c>
      <c r="D917" s="62">
        <v>0</v>
      </c>
    </row>
    <row r="918" spans="1:4">
      <c r="A918" s="62" t="s">
        <v>1068</v>
      </c>
      <c r="B918" s="62">
        <v>0</v>
      </c>
      <c r="C918" s="62">
        <v>0</v>
      </c>
      <c r="D918" s="62">
        <v>0</v>
      </c>
    </row>
    <row r="919" spans="1:4">
      <c r="A919" s="62" t="s">
        <v>1069</v>
      </c>
      <c r="B919" s="62">
        <v>0</v>
      </c>
      <c r="C919" s="62">
        <v>0</v>
      </c>
      <c r="D919" s="62">
        <v>0</v>
      </c>
    </row>
    <row r="920" spans="1:4">
      <c r="A920" s="62" t="s">
        <v>1070</v>
      </c>
      <c r="B920" s="62">
        <v>0</v>
      </c>
      <c r="C920" s="62">
        <v>0</v>
      </c>
      <c r="D920" s="62">
        <v>0</v>
      </c>
    </row>
    <row r="921" spans="1:4">
      <c r="A921" s="62" t="s">
        <v>1071</v>
      </c>
      <c r="B921" s="62">
        <v>0</v>
      </c>
      <c r="C921" s="62">
        <v>0</v>
      </c>
      <c r="D921" s="62">
        <v>0</v>
      </c>
    </row>
    <row r="922" spans="1:4">
      <c r="A922" s="62" t="s">
        <v>1072</v>
      </c>
      <c r="B922" s="62">
        <v>0</v>
      </c>
      <c r="C922" s="62">
        <v>0</v>
      </c>
      <c r="D922" s="62">
        <v>0</v>
      </c>
    </row>
    <row r="923" spans="1:4">
      <c r="A923" s="62" t="s">
        <v>1073</v>
      </c>
      <c r="B923" s="62">
        <v>0</v>
      </c>
      <c r="C923" s="62">
        <v>0</v>
      </c>
      <c r="D923" s="62">
        <v>0</v>
      </c>
    </row>
    <row r="924" spans="1:4">
      <c r="A924" s="62" t="s">
        <v>1074</v>
      </c>
      <c r="B924" s="62">
        <v>0</v>
      </c>
      <c r="C924" s="62">
        <v>0</v>
      </c>
      <c r="D924" s="62">
        <v>0</v>
      </c>
    </row>
    <row r="925" spans="1:4">
      <c r="A925" s="62" t="s">
        <v>1075</v>
      </c>
      <c r="B925" s="62">
        <v>0</v>
      </c>
      <c r="C925" s="62">
        <v>0</v>
      </c>
      <c r="D925" s="62">
        <v>0</v>
      </c>
    </row>
    <row r="926" spans="1:4">
      <c r="A926" s="62" t="s">
        <v>1076</v>
      </c>
      <c r="B926" s="62">
        <v>0</v>
      </c>
      <c r="C926" s="62">
        <v>0</v>
      </c>
      <c r="D926" s="62">
        <v>0</v>
      </c>
    </row>
    <row r="927" spans="1:4">
      <c r="A927" s="62" t="s">
        <v>1077</v>
      </c>
      <c r="B927" s="62">
        <v>0</v>
      </c>
      <c r="C927" s="62">
        <v>0</v>
      </c>
      <c r="D927" s="62">
        <v>0</v>
      </c>
    </row>
    <row r="928" spans="1:4">
      <c r="A928" s="62" t="s">
        <v>1078</v>
      </c>
      <c r="B928" s="62">
        <v>0</v>
      </c>
      <c r="C928" s="62">
        <v>0</v>
      </c>
      <c r="D928" s="62">
        <v>0</v>
      </c>
    </row>
    <row r="929" spans="1:4">
      <c r="A929" s="62" t="s">
        <v>1079</v>
      </c>
      <c r="B929" s="62">
        <v>0</v>
      </c>
      <c r="C929" s="62">
        <v>0</v>
      </c>
      <c r="D929" s="62">
        <v>0</v>
      </c>
    </row>
    <row r="930" spans="1:4">
      <c r="A930" s="62" t="s">
        <v>1080</v>
      </c>
      <c r="B930" s="62">
        <v>0</v>
      </c>
      <c r="C930" s="62">
        <v>0</v>
      </c>
      <c r="D930" s="62">
        <v>0</v>
      </c>
    </row>
    <row r="931" spans="1:4">
      <c r="A931" s="62" t="s">
        <v>1081</v>
      </c>
      <c r="B931" s="62">
        <v>0</v>
      </c>
      <c r="C931" s="62">
        <v>0</v>
      </c>
      <c r="D931" s="62">
        <v>0</v>
      </c>
    </row>
    <row r="932" spans="1:4">
      <c r="A932" s="62" t="s">
        <v>1082</v>
      </c>
      <c r="B932" s="62">
        <v>0</v>
      </c>
      <c r="C932" s="62">
        <v>0</v>
      </c>
      <c r="D932" s="62">
        <v>0</v>
      </c>
    </row>
    <row r="933" spans="1:4">
      <c r="A933" s="62" t="s">
        <v>1083</v>
      </c>
      <c r="B933" s="62">
        <v>0</v>
      </c>
      <c r="C933" s="62">
        <v>0</v>
      </c>
      <c r="D933" s="62">
        <v>0</v>
      </c>
    </row>
    <row r="934" spans="1:4">
      <c r="A934" s="62" t="s">
        <v>1084</v>
      </c>
      <c r="B934" s="62">
        <v>0</v>
      </c>
      <c r="C934" s="62">
        <v>0</v>
      </c>
      <c r="D934" s="62">
        <v>0</v>
      </c>
    </row>
    <row r="935" spans="1:4">
      <c r="A935" s="62" t="s">
        <v>1085</v>
      </c>
      <c r="B935" s="62">
        <v>0</v>
      </c>
      <c r="C935" s="62">
        <v>0</v>
      </c>
      <c r="D935" s="62">
        <v>0</v>
      </c>
    </row>
    <row r="936" spans="1:4">
      <c r="A936" s="62" t="s">
        <v>1086</v>
      </c>
      <c r="B936" s="62">
        <v>0</v>
      </c>
      <c r="C936" s="62">
        <v>0</v>
      </c>
      <c r="D936" s="62">
        <v>0</v>
      </c>
    </row>
    <row r="937" spans="1:4">
      <c r="A937" s="62" t="s">
        <v>1087</v>
      </c>
      <c r="B937" s="62">
        <v>0</v>
      </c>
      <c r="C937" s="62">
        <v>0</v>
      </c>
      <c r="D937" s="62">
        <v>0</v>
      </c>
    </row>
    <row r="938" spans="1:4">
      <c r="A938" s="62" t="s">
        <v>1088</v>
      </c>
      <c r="B938" s="62">
        <v>0</v>
      </c>
      <c r="C938" s="62">
        <v>0</v>
      </c>
      <c r="D938" s="62">
        <v>0</v>
      </c>
    </row>
    <row r="939" spans="1:4">
      <c r="A939" s="62" t="s">
        <v>1089</v>
      </c>
      <c r="B939" s="62">
        <v>0</v>
      </c>
      <c r="C939" s="62">
        <v>0</v>
      </c>
      <c r="D939" s="62">
        <v>0</v>
      </c>
    </row>
    <row r="940" spans="1:4">
      <c r="A940" s="62" t="s">
        <v>1090</v>
      </c>
      <c r="B940" s="62">
        <v>0</v>
      </c>
      <c r="C940" s="62">
        <v>0</v>
      </c>
      <c r="D940" s="62">
        <v>0</v>
      </c>
    </row>
    <row r="941" spans="1:4">
      <c r="A941" s="62" t="s">
        <v>1091</v>
      </c>
      <c r="B941" s="62">
        <v>0</v>
      </c>
      <c r="C941" s="62">
        <v>0</v>
      </c>
      <c r="D941" s="62">
        <v>0</v>
      </c>
    </row>
    <row r="942" spans="1:4">
      <c r="A942" s="62" t="s">
        <v>1092</v>
      </c>
      <c r="B942" s="62">
        <v>0</v>
      </c>
      <c r="C942" s="62">
        <v>0</v>
      </c>
      <c r="D942" s="62">
        <v>0</v>
      </c>
    </row>
    <row r="943" spans="1:4">
      <c r="A943" s="62" t="s">
        <v>1093</v>
      </c>
      <c r="B943" s="62">
        <v>0</v>
      </c>
      <c r="C943" s="62">
        <v>0</v>
      </c>
      <c r="D943" s="62">
        <v>0</v>
      </c>
    </row>
    <row r="944" spans="1:4">
      <c r="A944" s="62" t="s">
        <v>1094</v>
      </c>
      <c r="B944" s="62">
        <v>0</v>
      </c>
      <c r="C944" s="62">
        <v>0</v>
      </c>
      <c r="D944" s="62">
        <v>0</v>
      </c>
    </row>
    <row r="945" spans="1:4">
      <c r="A945" s="62" t="s">
        <v>1095</v>
      </c>
      <c r="B945" s="62">
        <v>0</v>
      </c>
      <c r="C945" s="62">
        <v>0</v>
      </c>
      <c r="D945" s="62">
        <v>0</v>
      </c>
    </row>
    <row r="946" spans="1:4">
      <c r="A946" s="62" t="s">
        <v>1096</v>
      </c>
      <c r="B946" s="62">
        <v>0</v>
      </c>
      <c r="C946" s="62">
        <v>0</v>
      </c>
      <c r="D946" s="62">
        <v>0</v>
      </c>
    </row>
    <row r="947" spans="1:4">
      <c r="A947" s="62" t="s">
        <v>1097</v>
      </c>
      <c r="B947" s="62">
        <v>0</v>
      </c>
      <c r="C947" s="62">
        <v>0</v>
      </c>
      <c r="D947" s="62">
        <v>0</v>
      </c>
    </row>
    <row r="948" spans="1:4">
      <c r="A948" s="62" t="s">
        <v>1098</v>
      </c>
      <c r="B948" s="62">
        <v>0</v>
      </c>
      <c r="C948" s="62">
        <v>0</v>
      </c>
      <c r="D948" s="62">
        <v>0</v>
      </c>
    </row>
    <row r="949" spans="1:4">
      <c r="A949" s="62" t="s">
        <v>1099</v>
      </c>
      <c r="B949" s="62">
        <v>0</v>
      </c>
      <c r="C949" s="62">
        <v>0</v>
      </c>
      <c r="D949" s="62">
        <v>0</v>
      </c>
    </row>
    <row r="950" spans="1:4">
      <c r="A950" s="62" t="s">
        <v>1100</v>
      </c>
      <c r="B950" s="62">
        <v>0</v>
      </c>
      <c r="C950" s="62">
        <v>0</v>
      </c>
      <c r="D950" s="62">
        <v>0</v>
      </c>
    </row>
    <row r="951" spans="1:4">
      <c r="A951" s="62" t="s">
        <v>1101</v>
      </c>
      <c r="B951" s="62">
        <v>0</v>
      </c>
      <c r="C951" s="62">
        <v>0</v>
      </c>
      <c r="D951" s="62">
        <v>0</v>
      </c>
    </row>
    <row r="952" spans="1:4">
      <c r="A952" s="62" t="s">
        <v>1102</v>
      </c>
      <c r="B952" s="62">
        <v>0</v>
      </c>
      <c r="C952" s="62">
        <v>0</v>
      </c>
      <c r="D952" s="62">
        <v>0</v>
      </c>
    </row>
    <row r="953" spans="1:4">
      <c r="A953" s="62" t="s">
        <v>1103</v>
      </c>
      <c r="B953" s="62">
        <v>0</v>
      </c>
      <c r="C953" s="62">
        <v>0</v>
      </c>
      <c r="D953" s="62">
        <v>0</v>
      </c>
    </row>
    <row r="954" spans="1:4">
      <c r="A954" s="62" t="s">
        <v>1104</v>
      </c>
      <c r="B954" s="62">
        <v>0</v>
      </c>
      <c r="C954" s="62">
        <v>0</v>
      </c>
      <c r="D954" s="62">
        <v>0</v>
      </c>
    </row>
    <row r="955" spans="1:4">
      <c r="A955" s="62" t="s">
        <v>1105</v>
      </c>
      <c r="B955" s="62">
        <v>0</v>
      </c>
      <c r="C955" s="62">
        <v>0</v>
      </c>
      <c r="D955" s="62">
        <v>0</v>
      </c>
    </row>
    <row r="956" spans="1:4">
      <c r="A956" s="62" t="s">
        <v>1106</v>
      </c>
      <c r="B956" s="62">
        <v>0</v>
      </c>
      <c r="C956" s="62">
        <v>0</v>
      </c>
      <c r="D956" s="62">
        <v>0</v>
      </c>
    </row>
    <row r="957" spans="1:4">
      <c r="A957" s="62" t="s">
        <v>1107</v>
      </c>
      <c r="B957" s="62">
        <v>0</v>
      </c>
      <c r="C957" s="62">
        <v>0</v>
      </c>
      <c r="D957" s="62">
        <v>0</v>
      </c>
    </row>
    <row r="958" spans="1:4">
      <c r="A958" s="62" t="s">
        <v>1108</v>
      </c>
      <c r="B958" s="62">
        <v>0</v>
      </c>
      <c r="C958" s="62">
        <v>0</v>
      </c>
      <c r="D958" s="62">
        <v>0</v>
      </c>
    </row>
    <row r="959" spans="1:4">
      <c r="A959" s="62" t="s">
        <v>1109</v>
      </c>
      <c r="B959" s="62">
        <v>0</v>
      </c>
      <c r="C959" s="62">
        <v>0</v>
      </c>
      <c r="D959" s="62">
        <v>0</v>
      </c>
    </row>
    <row r="960" spans="1:4">
      <c r="A960" s="62" t="s">
        <v>1110</v>
      </c>
      <c r="B960" s="62">
        <v>0</v>
      </c>
      <c r="C960" s="62">
        <v>0</v>
      </c>
      <c r="D960" s="62">
        <v>0</v>
      </c>
    </row>
    <row r="961" spans="1:4">
      <c r="A961" s="62" t="s">
        <v>1111</v>
      </c>
      <c r="B961" s="62">
        <v>0</v>
      </c>
      <c r="C961" s="62">
        <v>0</v>
      </c>
      <c r="D961" s="62">
        <v>0</v>
      </c>
    </row>
    <row r="962" spans="1:4">
      <c r="A962" s="62" t="s">
        <v>1112</v>
      </c>
      <c r="B962" s="62">
        <v>0</v>
      </c>
      <c r="C962" s="62">
        <v>0</v>
      </c>
      <c r="D962" s="62">
        <v>0</v>
      </c>
    </row>
    <row r="963" spans="1:4">
      <c r="A963" s="62" t="s">
        <v>1113</v>
      </c>
      <c r="B963" s="62">
        <v>0</v>
      </c>
      <c r="C963" s="62">
        <v>0</v>
      </c>
      <c r="D963" s="62">
        <v>0</v>
      </c>
    </row>
    <row r="964" spans="1:4">
      <c r="A964" s="62" t="s">
        <v>1114</v>
      </c>
      <c r="B964" s="62">
        <v>0</v>
      </c>
      <c r="C964" s="62">
        <v>0</v>
      </c>
      <c r="D964" s="62">
        <v>0</v>
      </c>
    </row>
    <row r="965" spans="1:4">
      <c r="A965" s="62" t="s">
        <v>1115</v>
      </c>
      <c r="B965" s="62">
        <v>0</v>
      </c>
      <c r="C965" s="62">
        <v>0</v>
      </c>
      <c r="D965" s="62">
        <v>0</v>
      </c>
    </row>
    <row r="966" spans="1:4">
      <c r="A966" s="62" t="s">
        <v>1116</v>
      </c>
      <c r="B966" s="62">
        <v>0</v>
      </c>
      <c r="C966" s="62">
        <v>0</v>
      </c>
      <c r="D966" s="62">
        <v>0</v>
      </c>
    </row>
    <row r="967" spans="1:4">
      <c r="A967" s="62" t="s">
        <v>1117</v>
      </c>
      <c r="B967" s="62">
        <v>0</v>
      </c>
      <c r="C967" s="62">
        <v>0</v>
      </c>
      <c r="D967" s="62">
        <v>0</v>
      </c>
    </row>
    <row r="968" spans="1:4">
      <c r="A968" s="62" t="s">
        <v>1118</v>
      </c>
      <c r="B968" s="62">
        <v>0</v>
      </c>
      <c r="C968" s="62">
        <v>0</v>
      </c>
      <c r="D968" s="62">
        <v>0</v>
      </c>
    </row>
    <row r="969" spans="1:4">
      <c r="A969" s="62" t="s">
        <v>1119</v>
      </c>
      <c r="B969" s="62">
        <v>0</v>
      </c>
      <c r="C969" s="62">
        <v>0</v>
      </c>
      <c r="D969" s="62">
        <v>0</v>
      </c>
    </row>
    <row r="970" spans="1:4">
      <c r="A970" s="62" t="s">
        <v>1120</v>
      </c>
      <c r="B970" s="62">
        <v>0</v>
      </c>
      <c r="C970" s="62">
        <v>0</v>
      </c>
      <c r="D970" s="62">
        <v>0</v>
      </c>
    </row>
    <row r="971" spans="1:4">
      <c r="A971" s="62" t="s">
        <v>1121</v>
      </c>
      <c r="B971" s="62">
        <v>0</v>
      </c>
      <c r="C971" s="62">
        <v>0</v>
      </c>
      <c r="D971" s="62">
        <v>0</v>
      </c>
    </row>
    <row r="972" spans="1:4">
      <c r="A972" s="62" t="s">
        <v>1122</v>
      </c>
      <c r="B972" s="62">
        <v>0</v>
      </c>
      <c r="C972" s="62">
        <v>0</v>
      </c>
      <c r="D972" s="62">
        <v>0</v>
      </c>
    </row>
    <row r="973" spans="1:4">
      <c r="A973" s="62" t="s">
        <v>1123</v>
      </c>
      <c r="B973" s="62">
        <v>0</v>
      </c>
      <c r="C973" s="62">
        <v>0</v>
      </c>
      <c r="D973" s="62">
        <v>0</v>
      </c>
    </row>
    <row r="974" spans="1:4">
      <c r="A974" s="62" t="s">
        <v>1124</v>
      </c>
      <c r="B974" s="62">
        <v>0</v>
      </c>
      <c r="C974" s="62">
        <v>0</v>
      </c>
      <c r="D974" s="62">
        <v>0</v>
      </c>
    </row>
    <row r="975" spans="1:4">
      <c r="A975" s="62" t="s">
        <v>1125</v>
      </c>
      <c r="B975" s="62">
        <v>0</v>
      </c>
      <c r="C975" s="62">
        <v>0</v>
      </c>
      <c r="D975" s="62">
        <v>0</v>
      </c>
    </row>
    <row r="976" spans="1:4">
      <c r="A976" s="62" t="s">
        <v>1126</v>
      </c>
      <c r="B976" s="62">
        <v>0</v>
      </c>
      <c r="C976" s="62">
        <v>0</v>
      </c>
      <c r="D976" s="62">
        <v>0</v>
      </c>
    </row>
    <row r="977" spans="1:4">
      <c r="A977" s="62" t="s">
        <v>1127</v>
      </c>
      <c r="B977" s="62">
        <v>0</v>
      </c>
      <c r="C977" s="62">
        <v>0</v>
      </c>
      <c r="D977" s="62">
        <v>0</v>
      </c>
    </row>
    <row r="978" spans="1:4">
      <c r="A978" s="62" t="s">
        <v>1128</v>
      </c>
      <c r="B978" s="62">
        <v>0</v>
      </c>
      <c r="C978" s="62">
        <v>0</v>
      </c>
      <c r="D978" s="62">
        <v>0</v>
      </c>
    </row>
    <row r="979" spans="1:4">
      <c r="A979" s="62" t="s">
        <v>1129</v>
      </c>
      <c r="B979" s="62">
        <v>0</v>
      </c>
      <c r="C979" s="62">
        <v>0</v>
      </c>
      <c r="D979" s="62">
        <v>0</v>
      </c>
    </row>
    <row r="980" spans="1:4">
      <c r="A980" s="62" t="s">
        <v>1130</v>
      </c>
      <c r="B980" s="62">
        <v>0</v>
      </c>
      <c r="C980" s="62">
        <v>0</v>
      </c>
      <c r="D980" s="62">
        <v>0</v>
      </c>
    </row>
    <row r="981" spans="1:4">
      <c r="A981" s="62" t="s">
        <v>1131</v>
      </c>
      <c r="B981" s="62">
        <v>0</v>
      </c>
      <c r="C981" s="62">
        <v>0</v>
      </c>
      <c r="D981" s="62">
        <v>0</v>
      </c>
    </row>
    <row r="982" spans="1:4">
      <c r="A982" s="62" t="s">
        <v>1132</v>
      </c>
      <c r="B982" s="62">
        <v>0</v>
      </c>
      <c r="C982" s="62">
        <v>0</v>
      </c>
      <c r="D982" s="62">
        <v>0</v>
      </c>
    </row>
    <row r="983" spans="1:4">
      <c r="A983" s="62" t="s">
        <v>1133</v>
      </c>
      <c r="B983" s="62">
        <v>0</v>
      </c>
      <c r="C983" s="62">
        <v>0</v>
      </c>
      <c r="D983" s="62">
        <v>0</v>
      </c>
    </row>
    <row r="984" spans="1:4">
      <c r="A984" s="62" t="s">
        <v>1134</v>
      </c>
      <c r="B984" s="62">
        <v>0</v>
      </c>
      <c r="C984" s="62">
        <v>0</v>
      </c>
      <c r="D984" s="62">
        <v>0</v>
      </c>
    </row>
    <row r="985" spans="1:4">
      <c r="A985" s="62" t="s">
        <v>1135</v>
      </c>
      <c r="B985" s="62">
        <v>0</v>
      </c>
      <c r="C985" s="62">
        <v>0</v>
      </c>
      <c r="D985" s="62">
        <v>0</v>
      </c>
    </row>
    <row r="986" spans="1:4">
      <c r="A986" s="62" t="s">
        <v>1136</v>
      </c>
      <c r="B986" s="62">
        <v>0</v>
      </c>
      <c r="C986" s="62">
        <v>0</v>
      </c>
      <c r="D986" s="62">
        <v>0</v>
      </c>
    </row>
    <row r="987" spans="1:4">
      <c r="A987" s="62" t="s">
        <v>1137</v>
      </c>
      <c r="B987" s="62">
        <v>0</v>
      </c>
      <c r="C987" s="62">
        <v>0</v>
      </c>
      <c r="D987" s="62">
        <v>0</v>
      </c>
    </row>
    <row r="988" spans="1:4">
      <c r="A988" s="62" t="s">
        <v>1138</v>
      </c>
      <c r="B988" s="62">
        <v>0</v>
      </c>
      <c r="C988" s="62">
        <v>0</v>
      </c>
      <c r="D988" s="62">
        <v>0</v>
      </c>
    </row>
    <row r="989" spans="1:4">
      <c r="A989" s="62" t="s">
        <v>1139</v>
      </c>
      <c r="B989" s="62">
        <v>0</v>
      </c>
      <c r="C989" s="62">
        <v>0</v>
      </c>
      <c r="D989" s="62">
        <v>0</v>
      </c>
    </row>
    <row r="990" spans="1:4">
      <c r="A990" s="62" t="s">
        <v>1140</v>
      </c>
      <c r="B990" s="62">
        <v>0</v>
      </c>
      <c r="C990" s="62">
        <v>0</v>
      </c>
      <c r="D990" s="62">
        <v>0</v>
      </c>
    </row>
    <row r="991" spans="1:4">
      <c r="A991" s="62" t="s">
        <v>1141</v>
      </c>
      <c r="B991" s="62">
        <v>0</v>
      </c>
      <c r="C991" s="62">
        <v>0</v>
      </c>
      <c r="D991" s="62">
        <v>0</v>
      </c>
    </row>
    <row r="992" spans="1:4">
      <c r="A992" s="62" t="s">
        <v>1142</v>
      </c>
      <c r="B992" s="62">
        <v>0</v>
      </c>
      <c r="C992" s="62">
        <v>0</v>
      </c>
      <c r="D992" s="62">
        <v>0</v>
      </c>
    </row>
    <row r="993" spans="1:4">
      <c r="A993" s="62" t="s">
        <v>1143</v>
      </c>
      <c r="B993" s="62">
        <v>0</v>
      </c>
      <c r="C993" s="62">
        <v>0</v>
      </c>
      <c r="D993" s="62">
        <v>0</v>
      </c>
    </row>
    <row r="994" spans="1:4">
      <c r="A994" s="62" t="s">
        <v>209</v>
      </c>
      <c r="B994" s="62">
        <v>0</v>
      </c>
      <c r="C994" s="62">
        <v>0</v>
      </c>
      <c r="D994" s="62">
        <v>0</v>
      </c>
    </row>
    <row r="995" spans="1:4">
      <c r="A995" s="62" t="s">
        <v>1144</v>
      </c>
      <c r="B995" s="62">
        <v>0</v>
      </c>
      <c r="C995" s="62">
        <v>0</v>
      </c>
      <c r="D995" s="62">
        <v>0</v>
      </c>
    </row>
    <row r="996" spans="1:4">
      <c r="A996" s="62" t="s">
        <v>1145</v>
      </c>
      <c r="B996" s="62">
        <v>0</v>
      </c>
      <c r="C996" s="62">
        <v>0</v>
      </c>
      <c r="D996" s="62">
        <v>0</v>
      </c>
    </row>
    <row r="997" spans="1:4">
      <c r="A997" s="62" t="s">
        <v>1146</v>
      </c>
      <c r="B997" s="62">
        <v>0</v>
      </c>
      <c r="C997" s="62">
        <v>0</v>
      </c>
      <c r="D997" s="62">
        <v>0</v>
      </c>
    </row>
    <row r="998" spans="1:4">
      <c r="A998" s="62" t="s">
        <v>1147</v>
      </c>
      <c r="B998" s="62">
        <v>0</v>
      </c>
      <c r="C998" s="62">
        <v>0</v>
      </c>
      <c r="D998" s="62">
        <v>0</v>
      </c>
    </row>
    <row r="999" spans="1:4">
      <c r="A999" s="62" t="s">
        <v>213</v>
      </c>
      <c r="B999" s="62">
        <v>0</v>
      </c>
      <c r="C999" s="62">
        <v>0</v>
      </c>
      <c r="D999" s="62">
        <v>0</v>
      </c>
    </row>
    <row r="1000" spans="1:4">
      <c r="A1000" s="62" t="s">
        <v>1148</v>
      </c>
      <c r="B1000" s="62">
        <v>0</v>
      </c>
      <c r="C1000" s="62">
        <v>0</v>
      </c>
      <c r="D1000" s="62">
        <v>0</v>
      </c>
    </row>
    <row r="1001" spans="1:4">
      <c r="A1001" s="62" t="s">
        <v>1149</v>
      </c>
      <c r="B1001" s="62">
        <v>0</v>
      </c>
      <c r="C1001" s="62">
        <v>0</v>
      </c>
      <c r="D1001" s="62">
        <v>0</v>
      </c>
    </row>
    <row r="1002" spans="1:4">
      <c r="A1002" s="62" t="s">
        <v>1150</v>
      </c>
      <c r="B1002" s="62">
        <v>0</v>
      </c>
      <c r="C1002" s="62">
        <v>0</v>
      </c>
      <c r="D1002" s="62">
        <v>0</v>
      </c>
    </row>
    <row r="1003" spans="1:4">
      <c r="A1003" s="62" t="s">
        <v>1151</v>
      </c>
      <c r="B1003" s="62">
        <v>0</v>
      </c>
      <c r="C1003" s="62">
        <v>0</v>
      </c>
      <c r="D1003" s="62">
        <v>0</v>
      </c>
    </row>
    <row r="1004" spans="1:4">
      <c r="A1004" s="62" t="s">
        <v>1152</v>
      </c>
      <c r="B1004" s="62">
        <v>0</v>
      </c>
      <c r="C1004" s="62">
        <v>0</v>
      </c>
      <c r="D1004" s="62">
        <v>0</v>
      </c>
    </row>
    <row r="1005" spans="1:4">
      <c r="A1005" s="62" t="s">
        <v>1153</v>
      </c>
      <c r="B1005" s="62">
        <v>0</v>
      </c>
      <c r="C1005" s="62">
        <v>0</v>
      </c>
      <c r="D1005" s="62">
        <v>0</v>
      </c>
    </row>
    <row r="1006" spans="1:4">
      <c r="A1006" s="62" t="s">
        <v>1154</v>
      </c>
      <c r="B1006" s="62">
        <v>0</v>
      </c>
      <c r="C1006" s="62">
        <v>0</v>
      </c>
      <c r="D1006" s="62">
        <v>0</v>
      </c>
    </row>
    <row r="1007" spans="1:4">
      <c r="A1007" s="62" t="s">
        <v>1155</v>
      </c>
      <c r="B1007" s="62">
        <v>0</v>
      </c>
      <c r="C1007" s="62">
        <v>0</v>
      </c>
      <c r="D1007" s="62">
        <v>0</v>
      </c>
    </row>
    <row r="1008" spans="1:4">
      <c r="A1008" s="62" t="s">
        <v>1156</v>
      </c>
      <c r="B1008" s="62">
        <v>0</v>
      </c>
      <c r="C1008" s="62">
        <v>0</v>
      </c>
      <c r="D1008" s="62">
        <v>0</v>
      </c>
    </row>
    <row r="1009" spans="1:4">
      <c r="A1009" s="62" t="s">
        <v>1157</v>
      </c>
      <c r="B1009" s="62">
        <v>0</v>
      </c>
      <c r="C1009" s="62">
        <v>0</v>
      </c>
      <c r="D1009" s="62">
        <v>0</v>
      </c>
    </row>
    <row r="1010" spans="1:4">
      <c r="A1010" s="62" t="s">
        <v>1158</v>
      </c>
      <c r="B1010" s="62">
        <v>0</v>
      </c>
      <c r="C1010" s="62">
        <v>0</v>
      </c>
      <c r="D1010" s="62">
        <v>0</v>
      </c>
    </row>
    <row r="1011" spans="1:4">
      <c r="A1011" s="62" t="s">
        <v>1159</v>
      </c>
      <c r="B1011" s="62">
        <v>0</v>
      </c>
      <c r="C1011" s="62">
        <v>0</v>
      </c>
      <c r="D1011" s="62">
        <v>0</v>
      </c>
    </row>
    <row r="1012" spans="1:4">
      <c r="A1012" s="62" t="s">
        <v>1160</v>
      </c>
      <c r="B1012" s="62">
        <v>0</v>
      </c>
      <c r="C1012" s="62">
        <v>0</v>
      </c>
      <c r="D1012" s="62">
        <v>0</v>
      </c>
    </row>
    <row r="1013" spans="1:4">
      <c r="A1013" s="62" t="s">
        <v>1161</v>
      </c>
      <c r="B1013" s="62">
        <v>0</v>
      </c>
      <c r="C1013" s="62">
        <v>0</v>
      </c>
      <c r="D1013" s="62">
        <v>0</v>
      </c>
    </row>
    <row r="1014" spans="1:4">
      <c r="A1014" s="62" t="s">
        <v>1162</v>
      </c>
      <c r="B1014" s="62">
        <v>0</v>
      </c>
      <c r="C1014" s="62">
        <v>0</v>
      </c>
      <c r="D1014" s="62">
        <v>0</v>
      </c>
    </row>
    <row r="1015" spans="1:4">
      <c r="A1015" s="62" t="s">
        <v>1163</v>
      </c>
      <c r="B1015" s="62">
        <v>0</v>
      </c>
      <c r="C1015" s="62">
        <v>0</v>
      </c>
      <c r="D1015" s="62">
        <v>0</v>
      </c>
    </row>
    <row r="1016" spans="1:4">
      <c r="A1016" s="62" t="s">
        <v>1164</v>
      </c>
      <c r="B1016" s="62">
        <v>0</v>
      </c>
      <c r="C1016" s="62">
        <v>0</v>
      </c>
      <c r="D1016" s="62">
        <v>0</v>
      </c>
    </row>
    <row r="1017" spans="1:4">
      <c r="A1017" s="62" t="s">
        <v>1165</v>
      </c>
      <c r="B1017" s="62">
        <v>0</v>
      </c>
      <c r="C1017" s="62">
        <v>0</v>
      </c>
      <c r="D1017" s="62">
        <v>0</v>
      </c>
    </row>
    <row r="1018" spans="1:4">
      <c r="A1018" s="62" t="s">
        <v>1166</v>
      </c>
      <c r="B1018" s="62">
        <v>0</v>
      </c>
      <c r="C1018" s="62">
        <v>0</v>
      </c>
      <c r="D1018" s="62">
        <v>0</v>
      </c>
    </row>
    <row r="1019" spans="1:4">
      <c r="A1019" s="62" t="s">
        <v>1167</v>
      </c>
      <c r="B1019" s="62">
        <v>0</v>
      </c>
      <c r="C1019" s="62">
        <v>0</v>
      </c>
      <c r="D1019" s="62">
        <v>0</v>
      </c>
    </row>
    <row r="1020" spans="1:4">
      <c r="A1020" s="62" t="s">
        <v>1168</v>
      </c>
      <c r="B1020" s="62">
        <v>0</v>
      </c>
      <c r="C1020" s="62">
        <v>0</v>
      </c>
      <c r="D1020" s="62">
        <v>0</v>
      </c>
    </row>
    <row r="1021" spans="1:4">
      <c r="A1021" s="62" t="s">
        <v>1169</v>
      </c>
      <c r="B1021" s="62">
        <v>0</v>
      </c>
      <c r="C1021" s="62">
        <v>0</v>
      </c>
      <c r="D1021" s="62">
        <v>0</v>
      </c>
    </row>
    <row r="1022" spans="1:4">
      <c r="A1022" s="62" t="s">
        <v>1170</v>
      </c>
      <c r="B1022" s="62">
        <v>0</v>
      </c>
      <c r="C1022" s="62">
        <v>0</v>
      </c>
      <c r="D1022" s="62">
        <v>0</v>
      </c>
    </row>
    <row r="1023" spans="1:4">
      <c r="A1023" s="62" t="s">
        <v>1171</v>
      </c>
      <c r="B1023" s="62">
        <v>0</v>
      </c>
      <c r="C1023" s="62">
        <v>0</v>
      </c>
      <c r="D1023" s="62">
        <v>0</v>
      </c>
    </row>
    <row r="1024" spans="1:4">
      <c r="A1024" s="62" t="s">
        <v>1172</v>
      </c>
      <c r="B1024" s="62">
        <v>0</v>
      </c>
      <c r="C1024" s="62">
        <v>0</v>
      </c>
      <c r="D1024" s="62">
        <v>0</v>
      </c>
    </row>
    <row r="1025" spans="1:4">
      <c r="A1025" s="62" t="s">
        <v>1173</v>
      </c>
      <c r="B1025" s="62">
        <v>0</v>
      </c>
      <c r="C1025" s="62">
        <v>0</v>
      </c>
      <c r="D1025" s="62">
        <v>0</v>
      </c>
    </row>
    <row r="1026" spans="1:4">
      <c r="A1026" s="62" t="s">
        <v>1174</v>
      </c>
      <c r="B1026" s="62">
        <v>0</v>
      </c>
      <c r="C1026" s="62">
        <v>0</v>
      </c>
      <c r="D1026" s="62">
        <v>0</v>
      </c>
    </row>
    <row r="1027" spans="1:4">
      <c r="A1027" s="62" t="s">
        <v>1175</v>
      </c>
      <c r="B1027" s="62">
        <v>0</v>
      </c>
      <c r="C1027" s="62">
        <v>0</v>
      </c>
      <c r="D1027" s="62">
        <v>0</v>
      </c>
    </row>
    <row r="1028" spans="1:4">
      <c r="A1028" s="62" t="s">
        <v>1176</v>
      </c>
      <c r="B1028" s="62">
        <v>0</v>
      </c>
      <c r="C1028" s="62">
        <v>0</v>
      </c>
      <c r="D1028" s="62">
        <v>0</v>
      </c>
    </row>
    <row r="1029" spans="1:4">
      <c r="A1029" s="62" t="s">
        <v>1177</v>
      </c>
      <c r="B1029" s="62">
        <v>0</v>
      </c>
      <c r="C1029" s="62">
        <v>0</v>
      </c>
      <c r="D1029" s="62">
        <v>0</v>
      </c>
    </row>
    <row r="1030" spans="1:4">
      <c r="A1030" s="62" t="s">
        <v>1178</v>
      </c>
      <c r="B1030" s="62">
        <v>0</v>
      </c>
      <c r="C1030" s="62">
        <v>0</v>
      </c>
      <c r="D1030" s="62">
        <v>0</v>
      </c>
    </row>
    <row r="1031" spans="1:4">
      <c r="A1031" s="62" t="s">
        <v>1179</v>
      </c>
      <c r="B1031" s="62">
        <v>0</v>
      </c>
      <c r="C1031" s="62">
        <v>0</v>
      </c>
      <c r="D1031" s="62">
        <v>0</v>
      </c>
    </row>
    <row r="1032" spans="1:4">
      <c r="A1032" s="62" t="s">
        <v>1180</v>
      </c>
      <c r="B1032" s="62">
        <v>0</v>
      </c>
      <c r="C1032" s="62">
        <v>0</v>
      </c>
      <c r="D1032" s="62">
        <v>0</v>
      </c>
    </row>
    <row r="1033" spans="1:4">
      <c r="A1033" s="62" t="s">
        <v>1181</v>
      </c>
      <c r="B1033" s="62">
        <v>0</v>
      </c>
      <c r="C1033" s="62">
        <v>0</v>
      </c>
      <c r="D1033" s="62">
        <v>0</v>
      </c>
    </row>
    <row r="1034" spans="1:4">
      <c r="A1034" s="62" t="s">
        <v>1182</v>
      </c>
      <c r="B1034" s="62">
        <v>0</v>
      </c>
      <c r="C1034" s="62">
        <v>0</v>
      </c>
      <c r="D1034" s="62">
        <v>0</v>
      </c>
    </row>
    <row r="1035" spans="1:4">
      <c r="A1035" s="62" t="s">
        <v>1183</v>
      </c>
      <c r="B1035" s="62">
        <v>0</v>
      </c>
      <c r="C1035" s="62">
        <v>0</v>
      </c>
      <c r="D1035" s="62">
        <v>0</v>
      </c>
    </row>
    <row r="1036" spans="1:4">
      <c r="A1036" s="62" t="s">
        <v>1184</v>
      </c>
      <c r="B1036" s="62">
        <v>0</v>
      </c>
      <c r="C1036" s="62">
        <v>0</v>
      </c>
      <c r="D1036" s="62">
        <v>0</v>
      </c>
    </row>
    <row r="1037" spans="1:4">
      <c r="A1037" s="62" t="s">
        <v>1185</v>
      </c>
      <c r="B1037" s="62">
        <v>0</v>
      </c>
      <c r="C1037" s="62">
        <v>0</v>
      </c>
      <c r="D1037" s="62">
        <v>0</v>
      </c>
    </row>
    <row r="1038" spans="1:4">
      <c r="A1038" s="62" t="s">
        <v>1186</v>
      </c>
      <c r="B1038" s="62">
        <v>0</v>
      </c>
      <c r="C1038" s="62">
        <v>0</v>
      </c>
      <c r="D1038" s="62">
        <v>0</v>
      </c>
    </row>
    <row r="1039" spans="1:4">
      <c r="A1039" s="62" t="s">
        <v>1187</v>
      </c>
      <c r="B1039" s="62">
        <v>0</v>
      </c>
      <c r="C1039" s="62">
        <v>0</v>
      </c>
      <c r="D1039" s="62">
        <v>0</v>
      </c>
    </row>
    <row r="1040" spans="1:4">
      <c r="A1040" s="62" t="s">
        <v>1188</v>
      </c>
      <c r="B1040" s="62">
        <v>0</v>
      </c>
      <c r="C1040" s="62">
        <v>0</v>
      </c>
      <c r="D1040" s="62">
        <v>0</v>
      </c>
    </row>
    <row r="1041" spans="1:4">
      <c r="A1041" s="62" t="s">
        <v>1189</v>
      </c>
      <c r="B1041" s="62">
        <v>0</v>
      </c>
      <c r="C1041" s="62">
        <v>0</v>
      </c>
      <c r="D1041" s="62">
        <v>0</v>
      </c>
    </row>
    <row r="1042" spans="1:4">
      <c r="A1042" s="62" t="s">
        <v>1190</v>
      </c>
      <c r="B1042" s="62">
        <v>0</v>
      </c>
      <c r="C1042" s="62">
        <v>0</v>
      </c>
      <c r="D1042" s="62">
        <v>0</v>
      </c>
    </row>
    <row r="1043" spans="1:4">
      <c r="A1043" s="62" t="s">
        <v>1191</v>
      </c>
      <c r="B1043" s="62">
        <v>0</v>
      </c>
      <c r="C1043" s="62">
        <v>0</v>
      </c>
      <c r="D1043" s="62">
        <v>0</v>
      </c>
    </row>
    <row r="1044" spans="1:4">
      <c r="A1044" s="62" t="s">
        <v>1192</v>
      </c>
      <c r="B1044" s="62">
        <v>0</v>
      </c>
      <c r="C1044" s="62">
        <v>0</v>
      </c>
      <c r="D1044" s="62">
        <v>0</v>
      </c>
    </row>
    <row r="1045" spans="1:4">
      <c r="A1045" s="62" t="s">
        <v>1193</v>
      </c>
      <c r="B1045" s="62">
        <v>0</v>
      </c>
      <c r="C1045" s="62">
        <v>0</v>
      </c>
      <c r="D1045" s="62">
        <v>0</v>
      </c>
    </row>
    <row r="1046" spans="1:4">
      <c r="A1046" s="62" t="s">
        <v>1194</v>
      </c>
      <c r="B1046" s="62">
        <v>0</v>
      </c>
      <c r="C1046" s="62">
        <v>0</v>
      </c>
      <c r="D1046" s="62">
        <v>0</v>
      </c>
    </row>
    <row r="1047" spans="1:4">
      <c r="A1047" s="62" t="s">
        <v>1195</v>
      </c>
      <c r="B1047" s="62">
        <v>0</v>
      </c>
      <c r="C1047" s="62">
        <v>0</v>
      </c>
      <c r="D1047" s="62">
        <v>0</v>
      </c>
    </row>
    <row r="1048" spans="1:4">
      <c r="A1048" s="62" t="s">
        <v>1196</v>
      </c>
      <c r="B1048" s="62">
        <v>0</v>
      </c>
      <c r="C1048" s="62">
        <v>0</v>
      </c>
      <c r="D1048" s="62">
        <v>0</v>
      </c>
    </row>
    <row r="1049" spans="1:4">
      <c r="A1049" s="62" t="s">
        <v>1197</v>
      </c>
      <c r="B1049" s="62">
        <v>0</v>
      </c>
      <c r="C1049" s="62">
        <v>0</v>
      </c>
      <c r="D1049" s="62">
        <v>0</v>
      </c>
    </row>
    <row r="1050" spans="1:4">
      <c r="A1050" s="62" t="s">
        <v>1198</v>
      </c>
      <c r="B1050" s="62">
        <v>0</v>
      </c>
      <c r="C1050" s="62">
        <v>0</v>
      </c>
      <c r="D1050" s="62">
        <v>0</v>
      </c>
    </row>
    <row r="1051" spans="1:4">
      <c r="A1051" s="62" t="s">
        <v>1199</v>
      </c>
      <c r="B1051" s="62">
        <v>0</v>
      </c>
      <c r="C1051" s="62">
        <v>0</v>
      </c>
      <c r="D1051" s="62">
        <v>0</v>
      </c>
    </row>
    <row r="1052" spans="1:4">
      <c r="A1052" s="62" t="s">
        <v>1200</v>
      </c>
      <c r="B1052" s="62">
        <v>0</v>
      </c>
      <c r="C1052" s="62">
        <v>0</v>
      </c>
      <c r="D1052" s="62">
        <v>0</v>
      </c>
    </row>
    <row r="1053" spans="1:4">
      <c r="A1053" s="62" t="s">
        <v>1201</v>
      </c>
      <c r="B1053" s="62">
        <v>0</v>
      </c>
      <c r="C1053" s="62">
        <v>0</v>
      </c>
      <c r="D1053" s="62">
        <v>0</v>
      </c>
    </row>
    <row r="1054" spans="1:4">
      <c r="A1054" s="62" t="s">
        <v>1202</v>
      </c>
      <c r="B1054" s="62">
        <v>0</v>
      </c>
      <c r="C1054" s="62">
        <v>0</v>
      </c>
      <c r="D1054" s="62">
        <v>0</v>
      </c>
    </row>
    <row r="1055" spans="1:4">
      <c r="A1055" s="62" t="s">
        <v>1203</v>
      </c>
      <c r="B1055" s="62">
        <v>0</v>
      </c>
      <c r="C1055" s="62">
        <v>0</v>
      </c>
      <c r="D1055" s="62">
        <v>0</v>
      </c>
    </row>
    <row r="1056" spans="1:4">
      <c r="A1056" s="62" t="s">
        <v>1204</v>
      </c>
      <c r="B1056" s="62">
        <v>0</v>
      </c>
      <c r="C1056" s="62">
        <v>0</v>
      </c>
      <c r="D1056" s="62">
        <v>0</v>
      </c>
    </row>
    <row r="1057" spans="1:4">
      <c r="A1057" s="62" t="s">
        <v>1205</v>
      </c>
      <c r="B1057" s="62">
        <v>0</v>
      </c>
      <c r="C1057" s="62">
        <v>0</v>
      </c>
      <c r="D1057" s="62">
        <v>0</v>
      </c>
    </row>
    <row r="1058" spans="1:4">
      <c r="A1058" s="62" t="s">
        <v>1206</v>
      </c>
      <c r="B1058" s="62">
        <v>0</v>
      </c>
      <c r="C1058" s="62">
        <v>0</v>
      </c>
      <c r="D1058" s="62">
        <v>0</v>
      </c>
    </row>
    <row r="1059" spans="1:4">
      <c r="A1059" s="62" t="s">
        <v>1207</v>
      </c>
      <c r="B1059" s="62">
        <v>0</v>
      </c>
      <c r="C1059" s="62">
        <v>0</v>
      </c>
      <c r="D1059" s="62">
        <v>0</v>
      </c>
    </row>
    <row r="1060" spans="1:4">
      <c r="A1060" s="62" t="s">
        <v>1208</v>
      </c>
      <c r="B1060" s="62">
        <v>0</v>
      </c>
      <c r="C1060" s="62">
        <v>0</v>
      </c>
      <c r="D1060" s="62">
        <v>0</v>
      </c>
    </row>
    <row r="1061" spans="1:4">
      <c r="A1061" s="62" t="s">
        <v>1209</v>
      </c>
      <c r="B1061" s="62">
        <v>0</v>
      </c>
      <c r="C1061" s="62">
        <v>0</v>
      </c>
      <c r="D1061" s="62">
        <v>0</v>
      </c>
    </row>
    <row r="1062" spans="1:4">
      <c r="A1062" s="62" t="s">
        <v>1210</v>
      </c>
      <c r="B1062" s="62">
        <v>0</v>
      </c>
      <c r="C1062" s="62">
        <v>0</v>
      </c>
      <c r="D1062" s="62">
        <v>0</v>
      </c>
    </row>
    <row r="1063" spans="1:4">
      <c r="A1063" s="62" t="s">
        <v>1211</v>
      </c>
      <c r="B1063" s="62">
        <v>0</v>
      </c>
      <c r="C1063" s="62">
        <v>0</v>
      </c>
      <c r="D1063" s="62">
        <v>0</v>
      </c>
    </row>
    <row r="1064" spans="1:4">
      <c r="A1064" s="62" t="s">
        <v>1212</v>
      </c>
      <c r="B1064" s="62">
        <v>0</v>
      </c>
      <c r="C1064" s="62">
        <v>0</v>
      </c>
      <c r="D1064" s="62">
        <v>0</v>
      </c>
    </row>
    <row r="1065" spans="1:4">
      <c r="A1065" s="62" t="s">
        <v>1213</v>
      </c>
      <c r="B1065" s="62">
        <v>0</v>
      </c>
      <c r="C1065" s="62">
        <v>0</v>
      </c>
      <c r="D1065" s="62">
        <v>0</v>
      </c>
    </row>
    <row r="1066" spans="1:4">
      <c r="A1066" s="62" t="s">
        <v>1214</v>
      </c>
      <c r="B1066" s="62">
        <v>0</v>
      </c>
      <c r="C1066" s="62">
        <v>0</v>
      </c>
      <c r="D1066" s="62">
        <v>0</v>
      </c>
    </row>
    <row r="1067" spans="1:4">
      <c r="A1067" s="62" t="s">
        <v>1215</v>
      </c>
      <c r="B1067" s="62">
        <v>0</v>
      </c>
      <c r="C1067" s="62">
        <v>0</v>
      </c>
      <c r="D1067" s="62">
        <v>0</v>
      </c>
    </row>
    <row r="1068" spans="1:4">
      <c r="A1068" s="62" t="s">
        <v>1216</v>
      </c>
      <c r="B1068" s="62">
        <v>0</v>
      </c>
      <c r="C1068" s="62">
        <v>0</v>
      </c>
      <c r="D1068" s="62">
        <v>0</v>
      </c>
    </row>
    <row r="1069" spans="1:4">
      <c r="A1069" s="62" t="s">
        <v>1217</v>
      </c>
      <c r="B1069" s="62">
        <v>0</v>
      </c>
      <c r="C1069" s="62">
        <v>0</v>
      </c>
      <c r="D1069" s="62">
        <v>0</v>
      </c>
    </row>
    <row r="1070" spans="1:4">
      <c r="A1070" s="62" t="s">
        <v>1218</v>
      </c>
      <c r="B1070" s="62">
        <v>0</v>
      </c>
      <c r="C1070" s="62">
        <v>0</v>
      </c>
      <c r="D1070" s="62">
        <v>0</v>
      </c>
    </row>
    <row r="1071" spans="1:4">
      <c r="A1071" s="62" t="s">
        <v>1219</v>
      </c>
      <c r="B1071" s="62">
        <v>0</v>
      </c>
      <c r="C1071" s="62">
        <v>0</v>
      </c>
      <c r="D1071" s="62">
        <v>0</v>
      </c>
    </row>
    <row r="1072" spans="1:4">
      <c r="A1072" s="62" t="s">
        <v>1220</v>
      </c>
      <c r="B1072" s="62">
        <v>0</v>
      </c>
      <c r="C1072" s="62">
        <v>0</v>
      </c>
      <c r="D1072" s="62">
        <v>0</v>
      </c>
    </row>
    <row r="1073" spans="1:4">
      <c r="A1073" s="62" t="s">
        <v>1221</v>
      </c>
      <c r="B1073" s="62">
        <v>0</v>
      </c>
      <c r="C1073" s="62">
        <v>0</v>
      </c>
      <c r="D1073" s="62">
        <v>0</v>
      </c>
    </row>
    <row r="1074" spans="1:4">
      <c r="A1074" s="62" t="s">
        <v>1222</v>
      </c>
      <c r="B1074" s="62">
        <v>0</v>
      </c>
      <c r="C1074" s="62">
        <v>0</v>
      </c>
      <c r="D1074" s="62">
        <v>0</v>
      </c>
    </row>
    <row r="1075" spans="1:4">
      <c r="A1075" s="62" t="s">
        <v>1223</v>
      </c>
      <c r="B1075" s="62">
        <v>0</v>
      </c>
      <c r="C1075" s="62">
        <v>0</v>
      </c>
      <c r="D1075" s="62">
        <v>0</v>
      </c>
    </row>
    <row r="1076" spans="1:4">
      <c r="A1076" s="62" t="s">
        <v>1224</v>
      </c>
      <c r="B1076" s="62">
        <v>0</v>
      </c>
      <c r="C1076" s="62">
        <v>0</v>
      </c>
      <c r="D1076" s="62">
        <v>0</v>
      </c>
    </row>
    <row r="1077" spans="1:4">
      <c r="A1077" s="62" t="s">
        <v>1225</v>
      </c>
      <c r="B1077" s="62">
        <v>0</v>
      </c>
      <c r="C1077" s="62">
        <v>0</v>
      </c>
      <c r="D1077" s="62">
        <v>0</v>
      </c>
    </row>
    <row r="1078" spans="1:4">
      <c r="A1078" s="62" t="s">
        <v>1226</v>
      </c>
      <c r="B1078" s="62">
        <v>0</v>
      </c>
      <c r="C1078" s="62">
        <v>0</v>
      </c>
      <c r="D1078" s="62">
        <v>0</v>
      </c>
    </row>
    <row r="1079" spans="1:4">
      <c r="A1079" s="62" t="s">
        <v>1227</v>
      </c>
      <c r="B1079" s="62">
        <v>0</v>
      </c>
      <c r="C1079" s="62">
        <v>0</v>
      </c>
      <c r="D1079" s="62">
        <v>0</v>
      </c>
    </row>
    <row r="1080" spans="1:4">
      <c r="A1080" s="62" t="s">
        <v>1228</v>
      </c>
      <c r="B1080" s="62">
        <v>0</v>
      </c>
      <c r="C1080" s="62">
        <v>0</v>
      </c>
      <c r="D1080" s="62">
        <v>0</v>
      </c>
    </row>
    <row r="1081" spans="1:4">
      <c r="A1081" s="62" t="s">
        <v>1229</v>
      </c>
      <c r="B1081" s="62">
        <v>0</v>
      </c>
      <c r="C1081" s="62">
        <v>0</v>
      </c>
      <c r="D1081" s="62">
        <v>0</v>
      </c>
    </row>
    <row r="1082" spans="1:4">
      <c r="A1082" s="62" t="s">
        <v>1230</v>
      </c>
      <c r="B1082" s="62">
        <v>0</v>
      </c>
      <c r="C1082" s="62">
        <v>0</v>
      </c>
      <c r="D1082" s="62">
        <v>0</v>
      </c>
    </row>
    <row r="1083" spans="1:4">
      <c r="A1083" s="62" t="s">
        <v>1231</v>
      </c>
      <c r="B1083" s="62">
        <v>0</v>
      </c>
      <c r="C1083" s="62">
        <v>0</v>
      </c>
      <c r="D1083" s="62">
        <v>0</v>
      </c>
    </row>
    <row r="1084" spans="1:4">
      <c r="A1084" s="62" t="s">
        <v>1232</v>
      </c>
      <c r="B1084" s="62">
        <v>0</v>
      </c>
      <c r="C1084" s="62">
        <v>0</v>
      </c>
      <c r="D1084" s="62">
        <v>0</v>
      </c>
    </row>
    <row r="1085" spans="1:4">
      <c r="A1085" s="62" t="s">
        <v>1233</v>
      </c>
      <c r="B1085" s="62">
        <v>0</v>
      </c>
      <c r="C1085" s="62">
        <v>0</v>
      </c>
      <c r="D1085" s="62">
        <v>0</v>
      </c>
    </row>
    <row r="1086" spans="1:4">
      <c r="A1086" s="62" t="s">
        <v>1234</v>
      </c>
      <c r="B1086" s="62">
        <v>0</v>
      </c>
      <c r="C1086" s="62">
        <v>0</v>
      </c>
      <c r="D1086" s="62">
        <v>0</v>
      </c>
    </row>
    <row r="1087" spans="1:4">
      <c r="A1087" s="62" t="s">
        <v>1235</v>
      </c>
      <c r="B1087" s="62">
        <v>0</v>
      </c>
      <c r="C1087" s="62">
        <v>0</v>
      </c>
      <c r="D1087" s="62">
        <v>0</v>
      </c>
    </row>
    <row r="1088" spans="1:4">
      <c r="A1088" s="62" t="s">
        <v>1236</v>
      </c>
      <c r="B1088" s="62">
        <v>0</v>
      </c>
      <c r="C1088" s="62">
        <v>0</v>
      </c>
      <c r="D1088" s="62">
        <v>0</v>
      </c>
    </row>
    <row r="1089" spans="1:4">
      <c r="A1089" s="62" t="s">
        <v>1237</v>
      </c>
      <c r="B1089" s="62">
        <v>0</v>
      </c>
      <c r="C1089" s="62">
        <v>0</v>
      </c>
      <c r="D1089" s="62">
        <v>0</v>
      </c>
    </row>
    <row r="1090" spans="1:4">
      <c r="A1090" s="62" t="s">
        <v>1238</v>
      </c>
      <c r="B1090" s="62">
        <v>0</v>
      </c>
      <c r="C1090" s="62">
        <v>0</v>
      </c>
      <c r="D1090" s="62">
        <v>0</v>
      </c>
    </row>
    <row r="1091" spans="1:4">
      <c r="A1091" s="62" t="s">
        <v>1239</v>
      </c>
      <c r="B1091" s="62">
        <v>0</v>
      </c>
      <c r="C1091" s="62">
        <v>0</v>
      </c>
      <c r="D1091" s="62">
        <v>0</v>
      </c>
    </row>
    <row r="1092" spans="1:4">
      <c r="A1092" s="62" t="s">
        <v>1240</v>
      </c>
      <c r="B1092" s="62">
        <v>0</v>
      </c>
      <c r="C1092" s="62">
        <v>0</v>
      </c>
      <c r="D1092" s="62">
        <v>0</v>
      </c>
    </row>
    <row r="1093" spans="1:4">
      <c r="A1093" s="62" t="s">
        <v>1241</v>
      </c>
      <c r="B1093" s="62">
        <v>0</v>
      </c>
      <c r="C1093" s="62">
        <v>0</v>
      </c>
      <c r="D1093" s="62">
        <v>0</v>
      </c>
    </row>
    <row r="1094" spans="1:4">
      <c r="A1094" s="62" t="s">
        <v>1242</v>
      </c>
      <c r="B1094" s="62">
        <v>0</v>
      </c>
      <c r="C1094" s="62">
        <v>0</v>
      </c>
      <c r="D1094" s="62">
        <v>0</v>
      </c>
    </row>
    <row r="1095" spans="1:4">
      <c r="A1095" s="62" t="s">
        <v>1243</v>
      </c>
      <c r="B1095" s="62">
        <v>0</v>
      </c>
      <c r="C1095" s="62">
        <v>0</v>
      </c>
      <c r="D1095" s="62">
        <v>0</v>
      </c>
    </row>
    <row r="1096" spans="1:4">
      <c r="A1096" s="62" t="s">
        <v>1244</v>
      </c>
      <c r="B1096" s="62">
        <v>0</v>
      </c>
      <c r="C1096" s="62">
        <v>0</v>
      </c>
      <c r="D1096" s="62">
        <v>0</v>
      </c>
    </row>
    <row r="1097" spans="1:4">
      <c r="A1097" s="62" t="s">
        <v>1245</v>
      </c>
      <c r="B1097" s="62">
        <v>0</v>
      </c>
      <c r="C1097" s="62">
        <v>0</v>
      </c>
      <c r="D1097" s="62">
        <v>0</v>
      </c>
    </row>
    <row r="1098" spans="1:4">
      <c r="A1098" s="62" t="s">
        <v>1246</v>
      </c>
      <c r="B1098" s="62">
        <v>0</v>
      </c>
      <c r="C1098" s="62">
        <v>0</v>
      </c>
      <c r="D1098" s="62">
        <v>0</v>
      </c>
    </row>
    <row r="1099" spans="1:4">
      <c r="A1099" s="62" t="s">
        <v>1247</v>
      </c>
      <c r="B1099" s="62">
        <v>0</v>
      </c>
      <c r="C1099" s="62">
        <v>0</v>
      </c>
      <c r="D1099" s="62">
        <v>0</v>
      </c>
    </row>
    <row r="1100" spans="1:4">
      <c r="A1100" s="62" t="s">
        <v>1248</v>
      </c>
      <c r="B1100" s="62">
        <v>0</v>
      </c>
      <c r="C1100" s="62">
        <v>0</v>
      </c>
      <c r="D1100" s="62">
        <v>0</v>
      </c>
    </row>
    <row r="1101" spans="1:4">
      <c r="A1101" s="62" t="s">
        <v>1249</v>
      </c>
      <c r="B1101" s="62">
        <v>0</v>
      </c>
      <c r="C1101" s="62">
        <v>0</v>
      </c>
      <c r="D1101" s="62">
        <v>0</v>
      </c>
    </row>
    <row r="1102" spans="1:4">
      <c r="A1102" s="62" t="s">
        <v>1250</v>
      </c>
      <c r="B1102" s="62">
        <v>0</v>
      </c>
      <c r="C1102" s="62">
        <v>0</v>
      </c>
      <c r="D1102" s="62">
        <v>0</v>
      </c>
    </row>
    <row r="1103" spans="1:4">
      <c r="A1103" s="62" t="s">
        <v>1251</v>
      </c>
      <c r="B1103" s="62">
        <v>0</v>
      </c>
      <c r="C1103" s="62">
        <v>0</v>
      </c>
      <c r="D1103" s="62">
        <v>0</v>
      </c>
    </row>
    <row r="1104" spans="1:4">
      <c r="A1104" s="62" t="s">
        <v>1252</v>
      </c>
      <c r="B1104" s="62">
        <v>0</v>
      </c>
      <c r="C1104" s="62">
        <v>0</v>
      </c>
      <c r="D1104" s="62">
        <v>0</v>
      </c>
    </row>
    <row r="1105" spans="1:4">
      <c r="A1105" s="62" t="s">
        <v>1253</v>
      </c>
      <c r="B1105" s="62">
        <v>0</v>
      </c>
      <c r="C1105" s="62">
        <v>0</v>
      </c>
      <c r="D1105" s="62">
        <v>0</v>
      </c>
    </row>
    <row r="1106" spans="1:4">
      <c r="A1106" s="62" t="s">
        <v>1254</v>
      </c>
      <c r="B1106" s="62">
        <v>0</v>
      </c>
      <c r="C1106" s="62">
        <v>0</v>
      </c>
      <c r="D1106" s="62">
        <v>0</v>
      </c>
    </row>
    <row r="1107" spans="1:4">
      <c r="A1107" s="62" t="s">
        <v>1255</v>
      </c>
      <c r="B1107" s="62">
        <v>0</v>
      </c>
      <c r="C1107" s="62">
        <v>0</v>
      </c>
      <c r="D1107" s="62">
        <v>0</v>
      </c>
    </row>
    <row r="1108" spans="1:4">
      <c r="A1108" s="62" t="s">
        <v>1256</v>
      </c>
      <c r="B1108" s="62">
        <v>0</v>
      </c>
      <c r="C1108" s="62">
        <v>0</v>
      </c>
      <c r="D1108" s="62">
        <v>0</v>
      </c>
    </row>
    <row r="1109" spans="1:4">
      <c r="A1109" s="62" t="s">
        <v>1257</v>
      </c>
      <c r="B1109" s="62">
        <v>0</v>
      </c>
      <c r="C1109" s="62">
        <v>0</v>
      </c>
      <c r="D1109" s="62">
        <v>0</v>
      </c>
    </row>
    <row r="1110" spans="1:4">
      <c r="A1110" s="62" t="s">
        <v>1258</v>
      </c>
      <c r="B1110" s="62">
        <v>0</v>
      </c>
      <c r="C1110" s="62">
        <v>0</v>
      </c>
      <c r="D1110" s="62">
        <v>0</v>
      </c>
    </row>
    <row r="1111" spans="1:4">
      <c r="A1111" s="62" t="s">
        <v>1259</v>
      </c>
      <c r="B1111" s="62">
        <v>0</v>
      </c>
      <c r="C1111" s="62">
        <v>0</v>
      </c>
      <c r="D1111" s="62">
        <v>0</v>
      </c>
    </row>
    <row r="1112" spans="1:4">
      <c r="A1112" s="62" t="s">
        <v>1260</v>
      </c>
      <c r="B1112" s="62">
        <v>0</v>
      </c>
      <c r="C1112" s="62">
        <v>0</v>
      </c>
      <c r="D1112" s="62">
        <v>0</v>
      </c>
    </row>
    <row r="1113" spans="1:4">
      <c r="A1113" s="62" t="s">
        <v>1261</v>
      </c>
      <c r="B1113" s="62">
        <v>0</v>
      </c>
      <c r="C1113" s="62">
        <v>0</v>
      </c>
      <c r="D1113" s="62">
        <v>0</v>
      </c>
    </row>
    <row r="1114" spans="1:4">
      <c r="A1114" s="62" t="s">
        <v>1262</v>
      </c>
      <c r="B1114" s="62">
        <v>0</v>
      </c>
      <c r="C1114" s="62">
        <v>0</v>
      </c>
      <c r="D1114" s="62">
        <v>0</v>
      </c>
    </row>
    <row r="1115" spans="1:4">
      <c r="A1115" s="62" t="s">
        <v>1263</v>
      </c>
      <c r="B1115" s="62">
        <v>0</v>
      </c>
      <c r="C1115" s="62">
        <v>0</v>
      </c>
      <c r="D1115" s="62">
        <v>0</v>
      </c>
    </row>
    <row r="1116" spans="1:4">
      <c r="A1116" s="62" t="s">
        <v>1264</v>
      </c>
      <c r="B1116" s="62">
        <v>0</v>
      </c>
      <c r="C1116" s="62">
        <v>0</v>
      </c>
      <c r="D1116" s="62">
        <v>0</v>
      </c>
    </row>
    <row r="1117" spans="1:4">
      <c r="A1117" s="62" t="s">
        <v>1265</v>
      </c>
      <c r="B1117" s="62">
        <v>0</v>
      </c>
      <c r="C1117" s="62">
        <v>0</v>
      </c>
      <c r="D1117" s="62">
        <v>0</v>
      </c>
    </row>
    <row r="1118" spans="1:4">
      <c r="A1118" s="62" t="s">
        <v>1266</v>
      </c>
      <c r="B1118" s="62">
        <v>0</v>
      </c>
      <c r="C1118" s="62">
        <v>0</v>
      </c>
      <c r="D1118" s="62">
        <v>0</v>
      </c>
    </row>
    <row r="1119" spans="1:4">
      <c r="A1119" s="62" t="s">
        <v>1267</v>
      </c>
      <c r="B1119" s="62">
        <v>0</v>
      </c>
      <c r="C1119" s="62">
        <v>0</v>
      </c>
      <c r="D1119" s="62">
        <v>0</v>
      </c>
    </row>
    <row r="1120" spans="1:4">
      <c r="A1120" s="62" t="s">
        <v>1268</v>
      </c>
      <c r="B1120" s="62">
        <v>0</v>
      </c>
      <c r="C1120" s="62">
        <v>0</v>
      </c>
      <c r="D1120" s="62">
        <v>0</v>
      </c>
    </row>
    <row r="1121" spans="1:4">
      <c r="A1121" s="62" t="s">
        <v>1269</v>
      </c>
      <c r="B1121" s="62">
        <v>0</v>
      </c>
      <c r="C1121" s="62">
        <v>0</v>
      </c>
      <c r="D1121" s="62">
        <v>0</v>
      </c>
    </row>
    <row r="1122" spans="1:4">
      <c r="A1122" s="62" t="s">
        <v>1270</v>
      </c>
      <c r="B1122" s="62">
        <v>0</v>
      </c>
      <c r="C1122" s="62">
        <v>0</v>
      </c>
      <c r="D1122" s="62">
        <v>0</v>
      </c>
    </row>
    <row r="1123" spans="1:4">
      <c r="A1123" s="62" t="s">
        <v>1271</v>
      </c>
      <c r="B1123" s="62">
        <v>0</v>
      </c>
      <c r="C1123" s="62">
        <v>0</v>
      </c>
      <c r="D1123" s="62">
        <v>0</v>
      </c>
    </row>
    <row r="1124" spans="1:4">
      <c r="A1124" s="62" t="s">
        <v>1272</v>
      </c>
      <c r="B1124" s="62">
        <v>0</v>
      </c>
      <c r="C1124" s="62">
        <v>0</v>
      </c>
      <c r="D1124" s="62">
        <v>0</v>
      </c>
    </row>
    <row r="1125" spans="1:4">
      <c r="A1125" s="62" t="s">
        <v>1273</v>
      </c>
      <c r="B1125" s="62">
        <v>0</v>
      </c>
      <c r="C1125" s="62">
        <v>0</v>
      </c>
      <c r="D1125" s="62">
        <v>0</v>
      </c>
    </row>
    <row r="1126" spans="1:4">
      <c r="A1126" s="62" t="s">
        <v>1274</v>
      </c>
      <c r="B1126" s="62">
        <v>0</v>
      </c>
      <c r="C1126" s="62">
        <v>0</v>
      </c>
      <c r="D1126" s="62">
        <v>0</v>
      </c>
    </row>
    <row r="1127" spans="1:4">
      <c r="A1127" s="62" t="s">
        <v>1275</v>
      </c>
      <c r="B1127" s="62">
        <v>0</v>
      </c>
      <c r="C1127" s="62">
        <v>0</v>
      </c>
      <c r="D1127" s="62">
        <v>0</v>
      </c>
    </row>
    <row r="1128" spans="1:4">
      <c r="A1128" s="62" t="s">
        <v>1276</v>
      </c>
      <c r="B1128" s="62">
        <v>0</v>
      </c>
      <c r="C1128" s="62">
        <v>0</v>
      </c>
      <c r="D1128" s="62">
        <v>0</v>
      </c>
    </row>
    <row r="1129" spans="1:4">
      <c r="A1129" s="62" t="s">
        <v>1277</v>
      </c>
      <c r="B1129" s="62">
        <v>0</v>
      </c>
      <c r="C1129" s="62">
        <v>0</v>
      </c>
      <c r="D1129" s="62">
        <v>0</v>
      </c>
    </row>
    <row r="1130" spans="1:4">
      <c r="A1130" s="62" t="s">
        <v>1278</v>
      </c>
      <c r="B1130" s="62">
        <v>0</v>
      </c>
      <c r="C1130" s="62">
        <v>0</v>
      </c>
      <c r="D1130" s="62">
        <v>0</v>
      </c>
    </row>
    <row r="1131" spans="1:4">
      <c r="A1131" s="62" t="s">
        <v>1279</v>
      </c>
      <c r="B1131" s="62">
        <v>0</v>
      </c>
      <c r="C1131" s="62">
        <v>0</v>
      </c>
      <c r="D1131" s="62">
        <v>0</v>
      </c>
    </row>
    <row r="1132" spans="1:4">
      <c r="A1132" s="62" t="s">
        <v>1280</v>
      </c>
      <c r="B1132" s="62">
        <v>0</v>
      </c>
      <c r="C1132" s="62">
        <v>0</v>
      </c>
      <c r="D1132" s="62">
        <v>0</v>
      </c>
    </row>
    <row r="1133" spans="1:4">
      <c r="A1133" s="62" t="s">
        <v>1281</v>
      </c>
      <c r="B1133" s="62">
        <v>0</v>
      </c>
      <c r="C1133" s="62">
        <v>0</v>
      </c>
      <c r="D1133" s="62">
        <v>0</v>
      </c>
    </row>
    <row r="1134" spans="1:4">
      <c r="A1134" s="62" t="s">
        <v>1282</v>
      </c>
      <c r="B1134" s="62">
        <v>0</v>
      </c>
      <c r="C1134" s="62">
        <v>0</v>
      </c>
      <c r="D1134" s="62">
        <v>0</v>
      </c>
    </row>
    <row r="1135" spans="1:4">
      <c r="A1135" s="62" t="s">
        <v>1283</v>
      </c>
      <c r="B1135" s="62">
        <v>0</v>
      </c>
      <c r="C1135" s="62">
        <v>0</v>
      </c>
      <c r="D1135" s="62">
        <v>0</v>
      </c>
    </row>
    <row r="1136" spans="1:4">
      <c r="A1136" s="62" t="s">
        <v>1284</v>
      </c>
      <c r="B1136" s="62">
        <v>0</v>
      </c>
      <c r="C1136" s="62">
        <v>0</v>
      </c>
      <c r="D1136" s="62">
        <v>0</v>
      </c>
    </row>
    <row r="1137" spans="1:4">
      <c r="A1137" s="62" t="s">
        <v>1285</v>
      </c>
      <c r="B1137" s="62">
        <v>0</v>
      </c>
      <c r="C1137" s="62">
        <v>0</v>
      </c>
      <c r="D1137" s="62">
        <v>0</v>
      </c>
    </row>
    <row r="1138" spans="1:4">
      <c r="A1138" s="62" t="s">
        <v>1286</v>
      </c>
      <c r="B1138" s="62">
        <v>0</v>
      </c>
      <c r="C1138" s="62">
        <v>0</v>
      </c>
      <c r="D1138" s="62">
        <v>0</v>
      </c>
    </row>
    <row r="1139" spans="1:4">
      <c r="A1139" s="62" t="s">
        <v>1287</v>
      </c>
      <c r="B1139" s="62">
        <v>0</v>
      </c>
      <c r="C1139" s="62">
        <v>0</v>
      </c>
      <c r="D1139" s="62">
        <v>0</v>
      </c>
    </row>
    <row r="1140" spans="1:4">
      <c r="A1140" s="62" t="s">
        <v>1288</v>
      </c>
      <c r="B1140" s="62">
        <v>0</v>
      </c>
      <c r="C1140" s="62">
        <v>0</v>
      </c>
      <c r="D1140" s="62">
        <v>0</v>
      </c>
    </row>
    <row r="1141" spans="1:4">
      <c r="A1141" s="62" t="s">
        <v>1289</v>
      </c>
      <c r="B1141" s="62">
        <v>0</v>
      </c>
      <c r="C1141" s="62">
        <v>0</v>
      </c>
      <c r="D1141" s="62">
        <v>0</v>
      </c>
    </row>
    <row r="1142" spans="1:4">
      <c r="A1142" s="62" t="s">
        <v>1290</v>
      </c>
      <c r="B1142" s="62">
        <v>0</v>
      </c>
      <c r="C1142" s="62">
        <v>0</v>
      </c>
      <c r="D1142" s="62">
        <v>0</v>
      </c>
    </row>
    <row r="1143" spans="1:4">
      <c r="A1143" s="62" t="s">
        <v>1291</v>
      </c>
      <c r="B1143" s="62">
        <v>0</v>
      </c>
      <c r="C1143" s="62">
        <v>0</v>
      </c>
      <c r="D1143" s="62">
        <v>0</v>
      </c>
    </row>
    <row r="1144" spans="1:4">
      <c r="A1144" s="62" t="s">
        <v>1292</v>
      </c>
      <c r="B1144" s="62">
        <v>0</v>
      </c>
      <c r="C1144" s="62">
        <v>0</v>
      </c>
      <c r="D1144" s="62">
        <v>0</v>
      </c>
    </row>
    <row r="1145" spans="1:4">
      <c r="A1145" s="62" t="s">
        <v>1293</v>
      </c>
      <c r="B1145" s="62">
        <v>0</v>
      </c>
      <c r="C1145" s="62">
        <v>0</v>
      </c>
      <c r="D1145" s="62">
        <v>0</v>
      </c>
    </row>
    <row r="1146" spans="1:4">
      <c r="A1146" s="62" t="s">
        <v>1294</v>
      </c>
      <c r="B1146" s="62">
        <v>0</v>
      </c>
      <c r="C1146" s="62">
        <v>0</v>
      </c>
      <c r="D1146" s="62">
        <v>0</v>
      </c>
    </row>
    <row r="1147" spans="1:4">
      <c r="A1147" s="62" t="s">
        <v>1295</v>
      </c>
      <c r="B1147" s="62">
        <v>0</v>
      </c>
      <c r="C1147" s="62">
        <v>0</v>
      </c>
      <c r="D1147" s="62">
        <v>0</v>
      </c>
    </row>
    <row r="1148" spans="1:4">
      <c r="A1148" s="62" t="s">
        <v>1296</v>
      </c>
      <c r="B1148" s="62">
        <v>0</v>
      </c>
      <c r="C1148" s="62">
        <v>0</v>
      </c>
      <c r="D1148" s="62">
        <v>0</v>
      </c>
    </row>
    <row r="1149" spans="1:4">
      <c r="A1149" s="62" t="s">
        <v>1297</v>
      </c>
      <c r="B1149" s="62">
        <v>0</v>
      </c>
      <c r="C1149" s="62">
        <v>0</v>
      </c>
      <c r="D1149" s="62">
        <v>0</v>
      </c>
    </row>
    <row r="1150" spans="1:4">
      <c r="A1150" s="62" t="s">
        <v>1298</v>
      </c>
      <c r="B1150" s="62">
        <v>0</v>
      </c>
      <c r="C1150" s="62">
        <v>0</v>
      </c>
      <c r="D1150" s="62">
        <v>0</v>
      </c>
    </row>
    <row r="1151" spans="1:4">
      <c r="A1151" s="62" t="s">
        <v>1299</v>
      </c>
      <c r="B1151" s="62">
        <v>0</v>
      </c>
      <c r="C1151" s="62">
        <v>0</v>
      </c>
      <c r="D1151" s="62">
        <v>0</v>
      </c>
    </row>
    <row r="1152" spans="1:4">
      <c r="A1152" s="62" t="s">
        <v>1300</v>
      </c>
      <c r="B1152" s="62">
        <v>0</v>
      </c>
      <c r="C1152" s="62">
        <v>0</v>
      </c>
      <c r="D1152" s="62">
        <v>0</v>
      </c>
    </row>
    <row r="1153" spans="1:4">
      <c r="A1153" s="62" t="s">
        <v>1301</v>
      </c>
      <c r="B1153" s="62">
        <v>0</v>
      </c>
      <c r="C1153" s="62">
        <v>0</v>
      </c>
      <c r="D1153" s="62">
        <v>0</v>
      </c>
    </row>
    <row r="1154" spans="1:4">
      <c r="A1154" s="62" t="s">
        <v>1302</v>
      </c>
      <c r="B1154" s="62">
        <v>0</v>
      </c>
      <c r="C1154" s="62">
        <v>0</v>
      </c>
      <c r="D1154" s="62">
        <v>0</v>
      </c>
    </row>
    <row r="1155" spans="1:4">
      <c r="A1155" s="62" t="s">
        <v>1303</v>
      </c>
      <c r="B1155" s="62">
        <v>0</v>
      </c>
      <c r="C1155" s="62">
        <v>0</v>
      </c>
      <c r="D1155" s="62">
        <v>0</v>
      </c>
    </row>
    <row r="1156" spans="1:4">
      <c r="A1156" s="62" t="s">
        <v>1304</v>
      </c>
      <c r="B1156" s="62">
        <v>0</v>
      </c>
      <c r="C1156" s="62">
        <v>0</v>
      </c>
      <c r="D1156" s="62">
        <v>0</v>
      </c>
    </row>
    <row r="1157" spans="1:4">
      <c r="A1157" s="62" t="s">
        <v>1305</v>
      </c>
      <c r="B1157" s="62">
        <v>0</v>
      </c>
      <c r="C1157" s="62">
        <v>0</v>
      </c>
      <c r="D1157" s="62">
        <v>0</v>
      </c>
    </row>
    <row r="1158" spans="1:4">
      <c r="A1158" s="62" t="s">
        <v>1306</v>
      </c>
      <c r="B1158" s="62">
        <v>0</v>
      </c>
      <c r="C1158" s="62">
        <v>0</v>
      </c>
      <c r="D1158" s="62">
        <v>0</v>
      </c>
    </row>
    <row r="1159" spans="1:4">
      <c r="A1159" s="62" t="s">
        <v>1307</v>
      </c>
      <c r="B1159" s="62">
        <v>0</v>
      </c>
      <c r="C1159" s="62">
        <v>0</v>
      </c>
      <c r="D1159" s="62">
        <v>0</v>
      </c>
    </row>
    <row r="1160" spans="1:4">
      <c r="A1160" s="62" t="s">
        <v>1308</v>
      </c>
      <c r="B1160" s="62">
        <v>0</v>
      </c>
      <c r="C1160" s="62">
        <v>0</v>
      </c>
      <c r="D1160" s="62">
        <v>0</v>
      </c>
    </row>
    <row r="1161" spans="1:4">
      <c r="A1161" s="62" t="s">
        <v>1309</v>
      </c>
      <c r="B1161" s="62">
        <v>0</v>
      </c>
      <c r="C1161" s="62">
        <v>0</v>
      </c>
      <c r="D1161" s="62">
        <v>0</v>
      </c>
    </row>
    <row r="1162" spans="1:4">
      <c r="A1162" s="62" t="s">
        <v>1310</v>
      </c>
      <c r="B1162" s="62">
        <v>0</v>
      </c>
      <c r="C1162" s="62">
        <v>0</v>
      </c>
      <c r="D1162" s="62">
        <v>0</v>
      </c>
    </row>
    <row r="1163" spans="1:4">
      <c r="A1163" s="62" t="s">
        <v>1311</v>
      </c>
      <c r="B1163" s="62">
        <v>0</v>
      </c>
      <c r="C1163" s="62">
        <v>0</v>
      </c>
      <c r="D1163" s="62">
        <v>0</v>
      </c>
    </row>
    <row r="1164" spans="1:4">
      <c r="A1164" s="62" t="s">
        <v>1312</v>
      </c>
      <c r="B1164" s="62">
        <v>0</v>
      </c>
      <c r="C1164" s="62">
        <v>0</v>
      </c>
      <c r="D1164" s="62">
        <v>0</v>
      </c>
    </row>
    <row r="1165" spans="1:4">
      <c r="A1165" s="62" t="s">
        <v>1313</v>
      </c>
      <c r="B1165" s="62">
        <v>0</v>
      </c>
      <c r="C1165" s="62">
        <v>0</v>
      </c>
      <c r="D1165" s="62">
        <v>0</v>
      </c>
    </row>
    <row r="1166" spans="1:4">
      <c r="A1166" s="62" t="s">
        <v>1314</v>
      </c>
      <c r="B1166" s="62">
        <v>0</v>
      </c>
      <c r="C1166" s="62">
        <v>0</v>
      </c>
      <c r="D1166" s="62">
        <v>0</v>
      </c>
    </row>
    <row r="1167" spans="1:4">
      <c r="A1167" s="62" t="s">
        <v>1315</v>
      </c>
      <c r="B1167" s="62">
        <v>0</v>
      </c>
      <c r="C1167" s="62">
        <v>0</v>
      </c>
      <c r="D1167" s="62">
        <v>0</v>
      </c>
    </row>
    <row r="1168" spans="1:4">
      <c r="A1168" s="62" t="s">
        <v>1316</v>
      </c>
      <c r="B1168" s="62">
        <v>0</v>
      </c>
      <c r="C1168" s="62">
        <v>0</v>
      </c>
      <c r="D1168" s="62">
        <v>0</v>
      </c>
    </row>
    <row r="1169" spans="1:4">
      <c r="A1169" s="62" t="s">
        <v>1317</v>
      </c>
      <c r="B1169" s="62">
        <v>0</v>
      </c>
      <c r="C1169" s="62">
        <v>0</v>
      </c>
      <c r="D1169" s="62">
        <v>0</v>
      </c>
    </row>
    <row r="1170" spans="1:4">
      <c r="A1170" s="62" t="s">
        <v>1318</v>
      </c>
      <c r="B1170" s="62">
        <v>0</v>
      </c>
      <c r="C1170" s="62">
        <v>0</v>
      </c>
      <c r="D1170" s="62">
        <v>0</v>
      </c>
    </row>
    <row r="1171" spans="1:4">
      <c r="A1171" s="62" t="s">
        <v>1319</v>
      </c>
      <c r="B1171" s="62">
        <v>0</v>
      </c>
      <c r="C1171" s="62">
        <v>0</v>
      </c>
      <c r="D1171" s="62">
        <v>0</v>
      </c>
    </row>
    <row r="1172" spans="1:4">
      <c r="A1172" s="62" t="s">
        <v>1320</v>
      </c>
      <c r="B1172" s="62">
        <v>0</v>
      </c>
      <c r="C1172" s="62">
        <v>0</v>
      </c>
      <c r="D1172" s="62">
        <v>0</v>
      </c>
    </row>
    <row r="1173" spans="1:4">
      <c r="A1173" s="62" t="s">
        <v>1321</v>
      </c>
      <c r="B1173" s="62">
        <v>0</v>
      </c>
      <c r="C1173" s="62">
        <v>0</v>
      </c>
      <c r="D1173" s="62">
        <v>0</v>
      </c>
    </row>
    <row r="1174" spans="1:4">
      <c r="A1174" s="62" t="s">
        <v>1322</v>
      </c>
      <c r="B1174" s="62">
        <v>0</v>
      </c>
      <c r="C1174" s="62">
        <v>0</v>
      </c>
      <c r="D1174" s="62">
        <v>0</v>
      </c>
    </row>
    <row r="1175" spans="1:4">
      <c r="A1175" s="62" t="s">
        <v>1323</v>
      </c>
      <c r="B1175" s="62">
        <v>0</v>
      </c>
      <c r="C1175" s="62">
        <v>0</v>
      </c>
      <c r="D1175" s="62">
        <v>0</v>
      </c>
    </row>
    <row r="1176" spans="1:4">
      <c r="A1176" s="62" t="s">
        <v>1324</v>
      </c>
      <c r="B1176" s="62">
        <v>0</v>
      </c>
      <c r="C1176" s="62">
        <v>0</v>
      </c>
      <c r="D1176" s="62">
        <v>0</v>
      </c>
    </row>
    <row r="1177" spans="1:4">
      <c r="A1177" s="62" t="s">
        <v>1325</v>
      </c>
      <c r="B1177" s="62">
        <v>0</v>
      </c>
      <c r="C1177" s="62">
        <v>0</v>
      </c>
      <c r="D1177" s="62">
        <v>0</v>
      </c>
    </row>
    <row r="1178" spans="1:4">
      <c r="A1178" s="62" t="s">
        <v>1326</v>
      </c>
      <c r="B1178" s="62">
        <v>0</v>
      </c>
      <c r="C1178" s="62">
        <v>0</v>
      </c>
      <c r="D1178" s="62">
        <v>0</v>
      </c>
    </row>
    <row r="1179" spans="1:4">
      <c r="A1179" s="62" t="s">
        <v>1327</v>
      </c>
      <c r="B1179" s="62">
        <v>0</v>
      </c>
      <c r="C1179" s="62">
        <v>0</v>
      </c>
      <c r="D1179" s="62">
        <v>0</v>
      </c>
    </row>
    <row r="1180" spans="1:4">
      <c r="A1180" s="62" t="s">
        <v>1328</v>
      </c>
      <c r="B1180" s="62">
        <v>0</v>
      </c>
      <c r="C1180" s="62">
        <v>0</v>
      </c>
      <c r="D1180" s="62">
        <v>0</v>
      </c>
    </row>
    <row r="1181" spans="1:4">
      <c r="A1181" s="62" t="s">
        <v>1329</v>
      </c>
      <c r="B1181" s="62">
        <v>0</v>
      </c>
      <c r="C1181" s="62">
        <v>0</v>
      </c>
      <c r="D1181" s="62">
        <v>0</v>
      </c>
    </row>
    <row r="1182" spans="1:4">
      <c r="A1182" s="62" t="s">
        <v>1330</v>
      </c>
      <c r="B1182" s="62">
        <v>0</v>
      </c>
      <c r="C1182" s="62">
        <v>0</v>
      </c>
      <c r="D1182" s="62">
        <v>0</v>
      </c>
    </row>
    <row r="1183" spans="1:4">
      <c r="A1183" s="62" t="s">
        <v>1331</v>
      </c>
      <c r="B1183" s="62">
        <v>0</v>
      </c>
      <c r="C1183" s="62">
        <v>0</v>
      </c>
      <c r="D1183" s="62">
        <v>0</v>
      </c>
    </row>
    <row r="1184" spans="1:4">
      <c r="A1184" s="62" t="s">
        <v>1332</v>
      </c>
      <c r="B1184" s="62">
        <v>0</v>
      </c>
      <c r="C1184" s="62">
        <v>0</v>
      </c>
      <c r="D1184" s="62">
        <v>0</v>
      </c>
    </row>
    <row r="1185" spans="1:4">
      <c r="A1185" s="62" t="s">
        <v>1333</v>
      </c>
      <c r="B1185" s="62">
        <v>0</v>
      </c>
      <c r="C1185" s="62">
        <v>0</v>
      </c>
      <c r="D1185" s="62">
        <v>0</v>
      </c>
    </row>
    <row r="1186" spans="1:4">
      <c r="A1186" s="62" t="s">
        <v>1334</v>
      </c>
      <c r="B1186" s="62">
        <v>0</v>
      </c>
      <c r="C1186" s="62">
        <v>0</v>
      </c>
      <c r="D1186" s="62">
        <v>0</v>
      </c>
    </row>
    <row r="1187" spans="1:4">
      <c r="A1187" s="62" t="s">
        <v>1335</v>
      </c>
      <c r="B1187" s="62">
        <v>0</v>
      </c>
      <c r="C1187" s="62">
        <v>0</v>
      </c>
      <c r="D1187" s="62">
        <v>0</v>
      </c>
    </row>
    <row r="1188" spans="1:4">
      <c r="A1188" s="62" t="s">
        <v>1336</v>
      </c>
      <c r="B1188" s="62">
        <v>0</v>
      </c>
      <c r="C1188" s="62">
        <v>0</v>
      </c>
      <c r="D1188" s="62">
        <v>0</v>
      </c>
    </row>
    <row r="1189" spans="1:4">
      <c r="A1189" s="62" t="s">
        <v>1337</v>
      </c>
      <c r="B1189" s="62">
        <v>0</v>
      </c>
      <c r="C1189" s="62">
        <v>0</v>
      </c>
      <c r="D1189" s="62">
        <v>0</v>
      </c>
    </row>
    <row r="1190" spans="1:4">
      <c r="A1190" s="62" t="s">
        <v>1338</v>
      </c>
      <c r="B1190" s="62">
        <v>0</v>
      </c>
      <c r="C1190" s="62">
        <v>0</v>
      </c>
      <c r="D1190" s="62">
        <v>0</v>
      </c>
    </row>
    <row r="1191" spans="1:4">
      <c r="A1191" s="62" t="s">
        <v>1339</v>
      </c>
      <c r="B1191" s="62">
        <v>0</v>
      </c>
      <c r="C1191" s="62">
        <v>0</v>
      </c>
      <c r="D1191" s="62">
        <v>0</v>
      </c>
    </row>
    <row r="1192" spans="1:4">
      <c r="A1192" s="62" t="s">
        <v>1340</v>
      </c>
      <c r="B1192" s="62">
        <v>0</v>
      </c>
      <c r="C1192" s="62">
        <v>0</v>
      </c>
      <c r="D1192" s="62">
        <v>0</v>
      </c>
    </row>
    <row r="1193" spans="1:4">
      <c r="A1193" s="62" t="s">
        <v>1341</v>
      </c>
      <c r="B1193" s="62">
        <v>0</v>
      </c>
      <c r="C1193" s="62">
        <v>0</v>
      </c>
      <c r="D1193" s="62">
        <v>0</v>
      </c>
    </row>
    <row r="1194" spans="1:4">
      <c r="A1194" s="62" t="s">
        <v>1342</v>
      </c>
      <c r="B1194" s="62">
        <v>0</v>
      </c>
      <c r="C1194" s="62">
        <v>0</v>
      </c>
      <c r="D1194" s="62">
        <v>0</v>
      </c>
    </row>
    <row r="1195" spans="1:4">
      <c r="A1195" s="62" t="s">
        <v>1343</v>
      </c>
      <c r="B1195" s="62">
        <v>0</v>
      </c>
      <c r="C1195" s="62">
        <v>0</v>
      </c>
      <c r="D1195" s="62">
        <v>0</v>
      </c>
    </row>
    <row r="1196" spans="1:4">
      <c r="A1196" s="62" t="s">
        <v>1344</v>
      </c>
      <c r="B1196" s="62">
        <v>0</v>
      </c>
      <c r="C1196" s="62">
        <v>0</v>
      </c>
      <c r="D1196" s="62">
        <v>0</v>
      </c>
    </row>
    <row r="1197" spans="1:4">
      <c r="A1197" s="62" t="s">
        <v>1345</v>
      </c>
      <c r="B1197" s="62">
        <v>0</v>
      </c>
      <c r="C1197" s="62">
        <v>0</v>
      </c>
      <c r="D1197" s="62">
        <v>0</v>
      </c>
    </row>
    <row r="1198" spans="1:4">
      <c r="A1198" s="62" t="s">
        <v>1346</v>
      </c>
      <c r="B1198" s="62">
        <v>0</v>
      </c>
      <c r="C1198" s="62">
        <v>0</v>
      </c>
      <c r="D1198" s="62">
        <v>0</v>
      </c>
    </row>
    <row r="1199" spans="1:4">
      <c r="A1199" s="62" t="s">
        <v>1347</v>
      </c>
      <c r="B1199" s="62">
        <v>0</v>
      </c>
      <c r="C1199" s="62">
        <v>0</v>
      </c>
      <c r="D1199" s="62">
        <v>0</v>
      </c>
    </row>
    <row r="1200" spans="1:4">
      <c r="A1200" s="62" t="s">
        <v>1348</v>
      </c>
      <c r="B1200" s="62">
        <v>0</v>
      </c>
      <c r="C1200" s="62">
        <v>0</v>
      </c>
      <c r="D1200" s="62">
        <v>0</v>
      </c>
    </row>
    <row r="1201" spans="1:4">
      <c r="A1201" s="62" t="s">
        <v>1349</v>
      </c>
      <c r="B1201" s="62">
        <v>0</v>
      </c>
      <c r="C1201" s="62">
        <v>0</v>
      </c>
      <c r="D1201" s="62">
        <v>0</v>
      </c>
    </row>
    <row r="1202" spans="1:4">
      <c r="A1202" s="62" t="s">
        <v>1350</v>
      </c>
      <c r="B1202" s="62">
        <v>0</v>
      </c>
      <c r="C1202" s="62">
        <v>0</v>
      </c>
      <c r="D1202" s="62">
        <v>0</v>
      </c>
    </row>
    <row r="1203" spans="1:4">
      <c r="A1203" s="62" t="s">
        <v>1351</v>
      </c>
      <c r="B1203" s="62">
        <v>0</v>
      </c>
      <c r="C1203" s="62">
        <v>0</v>
      </c>
      <c r="D1203" s="62">
        <v>0</v>
      </c>
    </row>
    <row r="1204" spans="1:4">
      <c r="A1204" s="62" t="s">
        <v>1352</v>
      </c>
      <c r="B1204" s="62">
        <v>0</v>
      </c>
      <c r="C1204" s="62">
        <v>0</v>
      </c>
      <c r="D1204" s="62">
        <v>0</v>
      </c>
    </row>
    <row r="1205" spans="1:4">
      <c r="A1205" s="62" t="s">
        <v>1353</v>
      </c>
      <c r="B1205" s="62">
        <v>0</v>
      </c>
      <c r="C1205" s="62">
        <v>0</v>
      </c>
      <c r="D1205" s="62">
        <v>0</v>
      </c>
    </row>
    <row r="1206" spans="1:4">
      <c r="A1206" s="62" t="s">
        <v>1354</v>
      </c>
      <c r="B1206" s="62">
        <v>0</v>
      </c>
      <c r="C1206" s="62">
        <v>0</v>
      </c>
      <c r="D1206" s="62">
        <v>0</v>
      </c>
    </row>
    <row r="1207" spans="1:4">
      <c r="A1207" s="62" t="s">
        <v>1355</v>
      </c>
      <c r="B1207" s="62">
        <v>0</v>
      </c>
      <c r="C1207" s="62">
        <v>0</v>
      </c>
      <c r="D1207" s="62">
        <v>0</v>
      </c>
    </row>
    <row r="1208" spans="1:4">
      <c r="A1208" s="62" t="s">
        <v>1356</v>
      </c>
      <c r="B1208" s="62">
        <v>0</v>
      </c>
      <c r="C1208" s="62">
        <v>0</v>
      </c>
      <c r="D1208" s="62">
        <v>0</v>
      </c>
    </row>
    <row r="1209" spans="1:4">
      <c r="A1209" s="62" t="s">
        <v>1357</v>
      </c>
      <c r="B1209" s="62">
        <v>0</v>
      </c>
      <c r="C1209" s="62">
        <v>0</v>
      </c>
      <c r="D1209" s="62">
        <v>0</v>
      </c>
    </row>
    <row r="1210" spans="1:4">
      <c r="A1210" s="62" t="s">
        <v>1358</v>
      </c>
      <c r="B1210" s="62">
        <v>0</v>
      </c>
      <c r="C1210" s="62">
        <v>0</v>
      </c>
      <c r="D1210" s="62">
        <v>0</v>
      </c>
    </row>
    <row r="1211" spans="1:4">
      <c r="A1211" s="62" t="s">
        <v>1359</v>
      </c>
      <c r="B1211" s="62">
        <v>0</v>
      </c>
      <c r="C1211" s="62">
        <v>0</v>
      </c>
      <c r="D1211" s="62">
        <v>0</v>
      </c>
    </row>
    <row r="1212" spans="1:4">
      <c r="A1212" s="62" t="s">
        <v>1360</v>
      </c>
      <c r="B1212" s="62">
        <v>0</v>
      </c>
      <c r="C1212" s="62">
        <v>0</v>
      </c>
      <c r="D1212" s="62">
        <v>0</v>
      </c>
    </row>
    <row r="1213" spans="1:4">
      <c r="A1213" s="62" t="s">
        <v>1361</v>
      </c>
      <c r="B1213" s="62">
        <v>0</v>
      </c>
      <c r="C1213" s="62">
        <v>0</v>
      </c>
      <c r="D1213" s="62">
        <v>0</v>
      </c>
    </row>
    <row r="1214" spans="1:4">
      <c r="A1214" s="62" t="s">
        <v>1362</v>
      </c>
      <c r="B1214" s="62">
        <v>0</v>
      </c>
      <c r="C1214" s="62">
        <v>0</v>
      </c>
      <c r="D1214" s="62">
        <v>0</v>
      </c>
    </row>
    <row r="1215" spans="1:4">
      <c r="A1215" s="62" t="s">
        <v>1363</v>
      </c>
      <c r="B1215" s="62">
        <v>0</v>
      </c>
      <c r="C1215" s="62">
        <v>0</v>
      </c>
      <c r="D1215" s="62">
        <v>0</v>
      </c>
    </row>
    <row r="1216" spans="1:4">
      <c r="A1216" s="62" t="s">
        <v>1364</v>
      </c>
      <c r="B1216" s="62">
        <v>0</v>
      </c>
      <c r="C1216" s="62">
        <v>0</v>
      </c>
      <c r="D1216" s="62">
        <v>0</v>
      </c>
    </row>
    <row r="1217" spans="1:4">
      <c r="A1217" s="62" t="s">
        <v>1365</v>
      </c>
      <c r="B1217" s="62">
        <v>0</v>
      </c>
      <c r="C1217" s="62">
        <v>0</v>
      </c>
      <c r="D1217" s="62">
        <v>0</v>
      </c>
    </row>
    <row r="1218" spans="1:4">
      <c r="A1218" s="62" t="s">
        <v>1366</v>
      </c>
      <c r="B1218" s="62">
        <v>0</v>
      </c>
      <c r="C1218" s="62">
        <v>0</v>
      </c>
      <c r="D1218" s="62">
        <v>0</v>
      </c>
    </row>
    <row r="1219" spans="1:4">
      <c r="A1219" s="62" t="s">
        <v>1367</v>
      </c>
      <c r="B1219" s="62">
        <v>0</v>
      </c>
      <c r="C1219" s="62">
        <v>0</v>
      </c>
      <c r="D1219" s="62">
        <v>0</v>
      </c>
    </row>
    <row r="1220" spans="1:4">
      <c r="A1220" s="62" t="s">
        <v>1368</v>
      </c>
      <c r="B1220" s="62">
        <v>0</v>
      </c>
      <c r="C1220" s="62">
        <v>0</v>
      </c>
      <c r="D1220" s="62">
        <v>0</v>
      </c>
    </row>
    <row r="1221" spans="1:4">
      <c r="A1221" s="62" t="s">
        <v>1369</v>
      </c>
      <c r="B1221" s="62">
        <v>0</v>
      </c>
      <c r="C1221" s="62">
        <v>0</v>
      </c>
      <c r="D1221" s="62">
        <v>0</v>
      </c>
    </row>
    <row r="1222" spans="1:4">
      <c r="A1222" s="62" t="s">
        <v>1370</v>
      </c>
      <c r="B1222" s="62">
        <v>0</v>
      </c>
      <c r="C1222" s="62">
        <v>0</v>
      </c>
      <c r="D1222" s="62">
        <v>0</v>
      </c>
    </row>
    <row r="1223" spans="1:4">
      <c r="A1223" s="62" t="s">
        <v>1371</v>
      </c>
      <c r="B1223" s="62">
        <v>0</v>
      </c>
      <c r="C1223" s="62">
        <v>0</v>
      </c>
      <c r="D1223" s="62">
        <v>0</v>
      </c>
    </row>
    <row r="1224" spans="1:4">
      <c r="A1224" s="62" t="s">
        <v>1372</v>
      </c>
      <c r="B1224" s="62">
        <v>0</v>
      </c>
      <c r="C1224" s="62">
        <v>0</v>
      </c>
      <c r="D1224" s="62">
        <v>0</v>
      </c>
    </row>
    <row r="1225" spans="1:4">
      <c r="A1225" s="62" t="s">
        <v>1373</v>
      </c>
      <c r="B1225" s="62">
        <v>0</v>
      </c>
      <c r="C1225" s="62">
        <v>0</v>
      </c>
      <c r="D1225" s="62">
        <v>0</v>
      </c>
    </row>
    <row r="1226" spans="1:4">
      <c r="A1226" s="62" t="s">
        <v>1374</v>
      </c>
      <c r="B1226" s="62">
        <v>0</v>
      </c>
      <c r="C1226" s="62">
        <v>0</v>
      </c>
      <c r="D1226" s="62">
        <v>0</v>
      </c>
    </row>
    <row r="1227" spans="1:4">
      <c r="A1227" s="62" t="s">
        <v>1375</v>
      </c>
      <c r="B1227" s="62">
        <v>0</v>
      </c>
      <c r="C1227" s="62">
        <v>0</v>
      </c>
      <c r="D1227" s="62">
        <v>0</v>
      </c>
    </row>
    <row r="1228" spans="1:4">
      <c r="A1228" s="62" t="s">
        <v>263</v>
      </c>
      <c r="B1228" s="62">
        <v>0</v>
      </c>
      <c r="C1228" s="62">
        <v>0</v>
      </c>
      <c r="D1228" s="62">
        <v>0</v>
      </c>
    </row>
    <row r="1229" spans="1:4">
      <c r="A1229" s="62" t="s">
        <v>264</v>
      </c>
      <c r="B1229" s="62">
        <v>0</v>
      </c>
      <c r="C1229" s="62">
        <v>0</v>
      </c>
      <c r="D1229" s="62">
        <v>0</v>
      </c>
    </row>
    <row r="1230" spans="1:4">
      <c r="A1230" s="62" t="s">
        <v>1376</v>
      </c>
      <c r="B1230" s="62">
        <v>0</v>
      </c>
      <c r="C1230" s="62">
        <v>0</v>
      </c>
      <c r="D1230" s="62">
        <v>0</v>
      </c>
    </row>
    <row r="1231" spans="1:4">
      <c r="A1231" s="62" t="s">
        <v>1377</v>
      </c>
      <c r="B1231" s="62">
        <v>0</v>
      </c>
      <c r="C1231" s="62">
        <v>0</v>
      </c>
      <c r="D1231" s="62">
        <v>0</v>
      </c>
    </row>
    <row r="1232" spans="1:4">
      <c r="A1232" s="62" t="s">
        <v>1378</v>
      </c>
      <c r="B1232" s="62">
        <v>0</v>
      </c>
      <c r="C1232" s="62">
        <v>0</v>
      </c>
      <c r="D1232" s="62">
        <v>0</v>
      </c>
    </row>
    <row r="1233" spans="1:4">
      <c r="A1233" s="62" t="s">
        <v>1379</v>
      </c>
      <c r="B1233" s="62">
        <v>0</v>
      </c>
      <c r="C1233" s="62">
        <v>0</v>
      </c>
      <c r="D1233" s="62">
        <v>0</v>
      </c>
    </row>
    <row r="1234" spans="1:4">
      <c r="A1234" s="62" t="s">
        <v>1380</v>
      </c>
      <c r="B1234" s="62">
        <v>0</v>
      </c>
      <c r="C1234" s="62">
        <v>0</v>
      </c>
      <c r="D1234" s="62">
        <v>0</v>
      </c>
    </row>
    <row r="1235" spans="1:4">
      <c r="A1235" s="62" t="s">
        <v>1381</v>
      </c>
      <c r="B1235" s="62">
        <v>0</v>
      </c>
      <c r="C1235" s="62">
        <v>0</v>
      </c>
      <c r="D1235" s="62">
        <v>0</v>
      </c>
    </row>
    <row r="1236" spans="1:4">
      <c r="A1236" s="62" t="s">
        <v>1382</v>
      </c>
      <c r="B1236" s="62">
        <v>0</v>
      </c>
      <c r="C1236" s="62">
        <v>0</v>
      </c>
      <c r="D1236" s="62">
        <v>0</v>
      </c>
    </row>
    <row r="1237" spans="1:4">
      <c r="A1237" s="62" t="s">
        <v>1383</v>
      </c>
      <c r="B1237" s="62">
        <v>0</v>
      </c>
      <c r="C1237" s="62">
        <v>0</v>
      </c>
      <c r="D1237" s="62">
        <v>0</v>
      </c>
    </row>
    <row r="1238" spans="1:4">
      <c r="A1238" s="62" t="s">
        <v>1384</v>
      </c>
      <c r="B1238" s="62">
        <v>0</v>
      </c>
      <c r="C1238" s="62">
        <v>0</v>
      </c>
      <c r="D1238" s="62">
        <v>0</v>
      </c>
    </row>
    <row r="1239" spans="1:4">
      <c r="A1239" s="62" t="s">
        <v>1385</v>
      </c>
      <c r="B1239" s="62">
        <v>0</v>
      </c>
      <c r="C1239" s="62">
        <v>0</v>
      </c>
      <c r="D1239" s="62">
        <v>0</v>
      </c>
    </row>
    <row r="1240" spans="1:4">
      <c r="A1240" s="62" t="s">
        <v>259</v>
      </c>
      <c r="B1240" s="62">
        <v>0</v>
      </c>
      <c r="C1240" s="62">
        <v>0</v>
      </c>
      <c r="D1240" s="62">
        <v>0</v>
      </c>
    </row>
    <row r="1241" spans="1:4">
      <c r="A1241" s="62" t="s">
        <v>260</v>
      </c>
      <c r="B1241" s="62">
        <v>0</v>
      </c>
      <c r="C1241" s="62">
        <v>0</v>
      </c>
      <c r="D1241" s="62">
        <v>0</v>
      </c>
    </row>
    <row r="1242" spans="1:4">
      <c r="A1242" s="62" t="s">
        <v>1386</v>
      </c>
      <c r="B1242" s="62">
        <v>0</v>
      </c>
      <c r="C1242" s="62">
        <v>0</v>
      </c>
      <c r="D1242" s="62">
        <v>0</v>
      </c>
    </row>
    <row r="1243" spans="1:4">
      <c r="A1243" s="62" t="s">
        <v>1387</v>
      </c>
      <c r="B1243" s="62">
        <v>0</v>
      </c>
      <c r="C1243" s="62">
        <v>0</v>
      </c>
      <c r="D1243" s="62">
        <v>0</v>
      </c>
    </row>
    <row r="1244" spans="1:4">
      <c r="A1244" s="62" t="s">
        <v>1388</v>
      </c>
      <c r="B1244" s="62">
        <v>0</v>
      </c>
      <c r="C1244" s="62">
        <v>0</v>
      </c>
      <c r="D1244" s="62">
        <v>0</v>
      </c>
    </row>
    <row r="1245" spans="1:4">
      <c r="A1245" s="62" t="s">
        <v>1389</v>
      </c>
      <c r="B1245" s="62">
        <v>0</v>
      </c>
      <c r="C1245" s="62">
        <v>0</v>
      </c>
      <c r="D1245" s="62">
        <v>0</v>
      </c>
    </row>
    <row r="1246" spans="1:4">
      <c r="A1246" s="62" t="s">
        <v>1390</v>
      </c>
      <c r="B1246" s="62">
        <v>0</v>
      </c>
      <c r="C1246" s="62">
        <v>0</v>
      </c>
      <c r="D1246" s="62">
        <v>0</v>
      </c>
    </row>
    <row r="1247" spans="1:4">
      <c r="A1247" s="62" t="s">
        <v>1391</v>
      </c>
      <c r="B1247" s="62">
        <v>0</v>
      </c>
      <c r="C1247" s="62">
        <v>0</v>
      </c>
      <c r="D1247" s="62">
        <v>0</v>
      </c>
    </row>
    <row r="1248" spans="1:4">
      <c r="A1248" s="62" t="s">
        <v>1392</v>
      </c>
      <c r="B1248" s="62">
        <v>0</v>
      </c>
      <c r="C1248" s="62">
        <v>0</v>
      </c>
      <c r="D1248" s="62">
        <v>0</v>
      </c>
    </row>
    <row r="1249" spans="1:4">
      <c r="A1249" s="62" t="s">
        <v>262</v>
      </c>
      <c r="B1249" s="62">
        <v>0</v>
      </c>
      <c r="C1249" s="62">
        <v>0</v>
      </c>
      <c r="D1249" s="62">
        <v>0</v>
      </c>
    </row>
    <row r="1250" spans="1:4">
      <c r="A1250" s="62" t="s">
        <v>1393</v>
      </c>
      <c r="B1250" s="62">
        <v>0</v>
      </c>
      <c r="C1250" s="62">
        <v>0</v>
      </c>
      <c r="D1250" s="62">
        <v>0</v>
      </c>
    </row>
    <row r="1251" spans="1:4">
      <c r="A1251" s="62" t="s">
        <v>1394</v>
      </c>
      <c r="B1251" s="62">
        <v>0</v>
      </c>
      <c r="C1251" s="62">
        <v>0</v>
      </c>
      <c r="D1251" s="62">
        <v>0</v>
      </c>
    </row>
    <row r="1252" spans="1:4">
      <c r="A1252" s="62" t="s">
        <v>1395</v>
      </c>
      <c r="B1252" s="62">
        <v>0</v>
      </c>
      <c r="C1252" s="62">
        <v>0</v>
      </c>
      <c r="D1252" s="62">
        <v>0</v>
      </c>
    </row>
    <row r="1253" spans="1:4">
      <c r="A1253" s="62" t="s">
        <v>1396</v>
      </c>
      <c r="B1253" s="62">
        <v>0</v>
      </c>
      <c r="C1253" s="62">
        <v>0</v>
      </c>
      <c r="D1253" s="62">
        <v>0</v>
      </c>
    </row>
    <row r="1254" spans="1:4">
      <c r="A1254" s="62" t="s">
        <v>1397</v>
      </c>
      <c r="B1254" s="62">
        <v>0</v>
      </c>
      <c r="C1254" s="62">
        <v>0</v>
      </c>
      <c r="D1254" s="62">
        <v>0</v>
      </c>
    </row>
    <row r="1255" spans="1:4">
      <c r="A1255" s="62" t="s">
        <v>1398</v>
      </c>
      <c r="B1255" s="62">
        <v>0</v>
      </c>
      <c r="C1255" s="62">
        <v>0</v>
      </c>
      <c r="D1255" s="62">
        <v>0</v>
      </c>
    </row>
    <row r="1256" spans="1:4">
      <c r="A1256" s="62" t="s">
        <v>1399</v>
      </c>
      <c r="B1256" s="62">
        <v>0</v>
      </c>
      <c r="C1256" s="62">
        <v>0</v>
      </c>
      <c r="D1256" s="62">
        <v>0</v>
      </c>
    </row>
    <row r="1257" spans="1:4">
      <c r="A1257" s="62" t="s">
        <v>1400</v>
      </c>
      <c r="B1257" s="62">
        <v>0</v>
      </c>
      <c r="C1257" s="62">
        <v>0</v>
      </c>
      <c r="D1257" s="62">
        <v>0</v>
      </c>
    </row>
    <row r="1258" spans="1:4">
      <c r="A1258" s="62" t="s">
        <v>1401</v>
      </c>
      <c r="B1258" s="62">
        <v>0</v>
      </c>
      <c r="C1258" s="62">
        <v>0</v>
      </c>
      <c r="D1258" s="62">
        <v>0</v>
      </c>
    </row>
    <row r="1259" spans="1:4">
      <c r="A1259" s="62" t="s">
        <v>1402</v>
      </c>
      <c r="B1259" s="62">
        <v>0</v>
      </c>
      <c r="C1259" s="62">
        <v>0</v>
      </c>
      <c r="D1259" s="62">
        <v>0</v>
      </c>
    </row>
    <row r="1260" spans="1:4">
      <c r="A1260" s="62" t="s">
        <v>1403</v>
      </c>
      <c r="B1260" s="62">
        <v>0</v>
      </c>
      <c r="C1260" s="62">
        <v>0</v>
      </c>
      <c r="D1260" s="62">
        <v>0</v>
      </c>
    </row>
    <row r="1261" spans="1:4">
      <c r="A1261" s="62" t="s">
        <v>1404</v>
      </c>
      <c r="B1261" s="62">
        <v>0</v>
      </c>
      <c r="C1261" s="62">
        <v>0</v>
      </c>
      <c r="D1261" s="62">
        <v>0</v>
      </c>
    </row>
    <row r="1262" spans="1:4">
      <c r="A1262" s="62" t="s">
        <v>1405</v>
      </c>
      <c r="B1262" s="62">
        <v>0</v>
      </c>
      <c r="C1262" s="62">
        <v>0</v>
      </c>
      <c r="D1262" s="62">
        <v>0</v>
      </c>
    </row>
    <row r="1263" spans="1:4">
      <c r="A1263" s="62" t="s">
        <v>1406</v>
      </c>
      <c r="B1263" s="62">
        <v>0</v>
      </c>
      <c r="C1263" s="62">
        <v>0</v>
      </c>
      <c r="D1263" s="62">
        <v>0</v>
      </c>
    </row>
    <row r="1264" spans="1:4">
      <c r="A1264" s="62" t="s">
        <v>1407</v>
      </c>
      <c r="B1264" s="62">
        <v>0</v>
      </c>
      <c r="C1264" s="62">
        <v>0</v>
      </c>
      <c r="D1264" s="62">
        <v>0</v>
      </c>
    </row>
    <row r="1265" spans="1:4">
      <c r="A1265" s="62" t="s">
        <v>1408</v>
      </c>
      <c r="B1265" s="62">
        <v>0</v>
      </c>
      <c r="C1265" s="62">
        <v>0</v>
      </c>
      <c r="D1265" s="62">
        <v>0</v>
      </c>
    </row>
    <row r="1266" spans="1:4">
      <c r="A1266" s="62" t="s">
        <v>1409</v>
      </c>
      <c r="B1266" s="62">
        <v>0</v>
      </c>
      <c r="C1266" s="62">
        <v>0</v>
      </c>
      <c r="D1266" s="62">
        <v>0</v>
      </c>
    </row>
    <row r="1267" spans="1:4">
      <c r="A1267" s="62" t="s">
        <v>1410</v>
      </c>
      <c r="B1267" s="62">
        <v>0</v>
      </c>
      <c r="C1267" s="62">
        <v>0</v>
      </c>
      <c r="D1267" s="62">
        <v>0</v>
      </c>
    </row>
    <row r="1268" spans="1:4">
      <c r="A1268" s="62" t="s">
        <v>1411</v>
      </c>
      <c r="B1268" s="62">
        <v>0</v>
      </c>
      <c r="C1268" s="62">
        <v>0</v>
      </c>
      <c r="D1268" s="62">
        <v>0</v>
      </c>
    </row>
    <row r="1269" spans="1:4">
      <c r="A1269" s="62" t="s">
        <v>1412</v>
      </c>
      <c r="B1269" s="62">
        <v>0</v>
      </c>
      <c r="C1269" s="62">
        <v>0</v>
      </c>
      <c r="D1269" s="62">
        <v>0</v>
      </c>
    </row>
    <row r="1270" spans="1:4">
      <c r="A1270" s="62" t="s">
        <v>1413</v>
      </c>
      <c r="B1270" s="62">
        <v>0</v>
      </c>
      <c r="C1270" s="62">
        <v>0</v>
      </c>
      <c r="D1270" s="62">
        <v>0</v>
      </c>
    </row>
    <row r="1271" spans="1:4">
      <c r="A1271" s="62" t="s">
        <v>1414</v>
      </c>
      <c r="B1271" s="62">
        <v>0</v>
      </c>
      <c r="C1271" s="62">
        <v>0</v>
      </c>
      <c r="D1271" s="62">
        <v>0</v>
      </c>
    </row>
    <row r="1272" spans="1:4">
      <c r="A1272" s="62" t="s">
        <v>1415</v>
      </c>
      <c r="B1272" s="62">
        <v>0</v>
      </c>
      <c r="C1272" s="62">
        <v>0</v>
      </c>
      <c r="D1272" s="62">
        <v>0</v>
      </c>
    </row>
    <row r="1273" spans="1:4">
      <c r="A1273" s="62" t="s">
        <v>1416</v>
      </c>
      <c r="B1273" s="62">
        <v>0</v>
      </c>
      <c r="C1273" s="62">
        <v>0</v>
      </c>
      <c r="D1273" s="62">
        <v>0</v>
      </c>
    </row>
    <row r="1274" spans="1:4">
      <c r="A1274" s="62" t="s">
        <v>1417</v>
      </c>
      <c r="B1274" s="62">
        <v>0</v>
      </c>
      <c r="C1274" s="62">
        <v>0</v>
      </c>
      <c r="D1274" s="62">
        <v>0</v>
      </c>
    </row>
    <row r="1275" spans="1:4">
      <c r="A1275" s="62" t="s">
        <v>1418</v>
      </c>
      <c r="B1275" s="62">
        <v>0</v>
      </c>
      <c r="C1275" s="62">
        <v>0</v>
      </c>
      <c r="D1275" s="62">
        <v>0</v>
      </c>
    </row>
    <row r="1276" spans="1:4">
      <c r="A1276" s="62" t="s">
        <v>1419</v>
      </c>
      <c r="B1276" s="62">
        <v>0</v>
      </c>
      <c r="C1276" s="62">
        <v>0</v>
      </c>
      <c r="D1276" s="62">
        <v>0</v>
      </c>
    </row>
    <row r="1277" spans="1:4">
      <c r="A1277" s="62" t="s">
        <v>1420</v>
      </c>
      <c r="B1277" s="62">
        <v>0</v>
      </c>
      <c r="C1277" s="62">
        <v>0</v>
      </c>
      <c r="D1277" s="62">
        <v>0</v>
      </c>
    </row>
    <row r="1278" spans="1:4">
      <c r="A1278" s="62" t="s">
        <v>1421</v>
      </c>
      <c r="B1278" s="62">
        <v>0</v>
      </c>
      <c r="C1278" s="62">
        <v>0</v>
      </c>
      <c r="D1278" s="62">
        <v>0</v>
      </c>
    </row>
    <row r="1279" spans="1:4">
      <c r="A1279" s="62" t="s">
        <v>1422</v>
      </c>
      <c r="B1279" s="62">
        <v>0</v>
      </c>
      <c r="C1279" s="62">
        <v>0</v>
      </c>
      <c r="D1279" s="62">
        <v>0</v>
      </c>
    </row>
    <row r="1280" spans="1:4">
      <c r="A1280" s="62" t="s">
        <v>1423</v>
      </c>
      <c r="B1280" s="62">
        <v>0</v>
      </c>
      <c r="C1280" s="62">
        <v>0</v>
      </c>
      <c r="D1280" s="62">
        <v>0</v>
      </c>
    </row>
    <row r="1281" spans="1:4">
      <c r="A1281" s="62" t="s">
        <v>1424</v>
      </c>
      <c r="B1281" s="62">
        <v>0</v>
      </c>
      <c r="C1281" s="62">
        <v>0</v>
      </c>
      <c r="D1281" s="62">
        <v>0</v>
      </c>
    </row>
    <row r="1282" spans="1:4">
      <c r="A1282" s="62" t="s">
        <v>1425</v>
      </c>
      <c r="B1282" s="62">
        <v>0</v>
      </c>
      <c r="C1282" s="62">
        <v>0</v>
      </c>
      <c r="D1282" s="62">
        <v>0</v>
      </c>
    </row>
    <row r="1283" spans="1:4">
      <c r="A1283" s="62" t="s">
        <v>1426</v>
      </c>
      <c r="B1283" s="62">
        <v>0</v>
      </c>
      <c r="C1283" s="62">
        <v>0</v>
      </c>
      <c r="D1283" s="62">
        <v>0</v>
      </c>
    </row>
    <row r="1284" spans="1:4">
      <c r="A1284" s="62" t="s">
        <v>1427</v>
      </c>
      <c r="B1284" s="62">
        <v>0</v>
      </c>
      <c r="C1284" s="62">
        <v>0</v>
      </c>
      <c r="D1284" s="62">
        <v>0</v>
      </c>
    </row>
    <row r="1285" spans="1:4">
      <c r="A1285" s="62" t="s">
        <v>1428</v>
      </c>
      <c r="B1285" s="62">
        <v>0</v>
      </c>
      <c r="C1285" s="62">
        <v>0</v>
      </c>
      <c r="D1285" s="62">
        <v>0</v>
      </c>
    </row>
    <row r="1286" spans="1:4">
      <c r="A1286" s="62" t="s">
        <v>1429</v>
      </c>
      <c r="B1286" s="62">
        <v>0</v>
      </c>
      <c r="C1286" s="62">
        <v>0</v>
      </c>
      <c r="D1286" s="62">
        <v>0</v>
      </c>
    </row>
    <row r="1287" spans="1:4">
      <c r="A1287" s="62" t="s">
        <v>1430</v>
      </c>
      <c r="B1287" s="62">
        <v>0</v>
      </c>
      <c r="C1287" s="62">
        <v>0</v>
      </c>
      <c r="D1287" s="62">
        <v>0</v>
      </c>
    </row>
    <row r="1288" spans="1:4">
      <c r="A1288" s="62" t="s">
        <v>1431</v>
      </c>
      <c r="B1288" s="62">
        <v>0</v>
      </c>
      <c r="C1288" s="62">
        <v>0</v>
      </c>
      <c r="D1288" s="62">
        <v>0</v>
      </c>
    </row>
    <row r="1289" spans="1:4">
      <c r="A1289" s="62" t="s">
        <v>1432</v>
      </c>
      <c r="B1289" s="62">
        <v>0</v>
      </c>
      <c r="C1289" s="62">
        <v>0</v>
      </c>
      <c r="D1289" s="62">
        <v>0</v>
      </c>
    </row>
    <row r="1290" spans="1:4">
      <c r="A1290" s="62" t="s">
        <v>1433</v>
      </c>
      <c r="B1290" s="62">
        <v>0</v>
      </c>
      <c r="C1290" s="62">
        <v>0</v>
      </c>
      <c r="D1290" s="62">
        <v>0</v>
      </c>
    </row>
    <row r="1291" spans="1:4">
      <c r="A1291" s="62" t="s">
        <v>1434</v>
      </c>
      <c r="B1291" s="62">
        <v>0</v>
      </c>
      <c r="C1291" s="62">
        <v>0</v>
      </c>
      <c r="D1291" s="62">
        <v>0</v>
      </c>
    </row>
    <row r="1292" spans="1:4">
      <c r="A1292" s="62" t="s">
        <v>1435</v>
      </c>
      <c r="B1292" s="62">
        <v>0</v>
      </c>
      <c r="C1292" s="62">
        <v>0</v>
      </c>
      <c r="D1292" s="62">
        <v>0</v>
      </c>
    </row>
    <row r="1293" spans="1:4">
      <c r="A1293" s="62" t="s">
        <v>1436</v>
      </c>
      <c r="B1293" s="62">
        <v>0</v>
      </c>
      <c r="C1293" s="62">
        <v>0</v>
      </c>
      <c r="D1293" s="62">
        <v>0</v>
      </c>
    </row>
    <row r="1294" spans="1:4">
      <c r="A1294" s="62" t="s">
        <v>1437</v>
      </c>
      <c r="B1294" s="62">
        <v>0</v>
      </c>
      <c r="C1294" s="62">
        <v>0</v>
      </c>
      <c r="D1294" s="62">
        <v>0</v>
      </c>
    </row>
    <row r="1295" spans="1:4">
      <c r="A1295" s="62" t="s">
        <v>1438</v>
      </c>
      <c r="B1295" s="62">
        <v>0</v>
      </c>
      <c r="C1295" s="62">
        <v>0</v>
      </c>
      <c r="D1295" s="62">
        <v>0</v>
      </c>
    </row>
    <row r="1296" spans="1:4">
      <c r="A1296" s="62" t="s">
        <v>1439</v>
      </c>
      <c r="B1296" s="62">
        <v>0</v>
      </c>
      <c r="C1296" s="62">
        <v>0</v>
      </c>
      <c r="D1296" s="62">
        <v>0</v>
      </c>
    </row>
    <row r="1297" spans="1:4">
      <c r="A1297" s="62" t="s">
        <v>1440</v>
      </c>
      <c r="B1297" s="62">
        <v>0</v>
      </c>
      <c r="C1297" s="62">
        <v>0</v>
      </c>
      <c r="D1297" s="62">
        <v>0</v>
      </c>
    </row>
    <row r="1298" spans="1:4">
      <c r="A1298" s="62" t="s">
        <v>1441</v>
      </c>
      <c r="B1298" s="62">
        <v>0</v>
      </c>
      <c r="C1298" s="62">
        <v>0</v>
      </c>
      <c r="D1298" s="62">
        <v>0</v>
      </c>
    </row>
    <row r="1299" spans="1:4">
      <c r="A1299" s="62" t="s">
        <v>1442</v>
      </c>
      <c r="B1299" s="62">
        <v>0</v>
      </c>
      <c r="C1299" s="62">
        <v>0</v>
      </c>
      <c r="D1299" s="62">
        <v>0</v>
      </c>
    </row>
    <row r="1300" spans="1:4">
      <c r="A1300" s="62" t="s">
        <v>1443</v>
      </c>
      <c r="B1300" s="62">
        <v>0</v>
      </c>
      <c r="C1300" s="62">
        <v>0</v>
      </c>
      <c r="D1300" s="62">
        <v>0</v>
      </c>
    </row>
    <row r="1301" spans="1:4">
      <c r="A1301" s="62" t="s">
        <v>1444</v>
      </c>
      <c r="B1301" s="62">
        <v>0</v>
      </c>
      <c r="C1301" s="62">
        <v>0</v>
      </c>
      <c r="D1301" s="62">
        <v>0</v>
      </c>
    </row>
    <row r="1302" spans="1:4">
      <c r="A1302" s="62" t="s">
        <v>1445</v>
      </c>
      <c r="B1302" s="62">
        <v>0</v>
      </c>
      <c r="C1302" s="62">
        <v>0</v>
      </c>
      <c r="D1302" s="62">
        <v>0</v>
      </c>
    </row>
    <row r="1303" spans="1:4">
      <c r="A1303" s="62" t="s">
        <v>1446</v>
      </c>
      <c r="B1303" s="62">
        <v>0</v>
      </c>
      <c r="C1303" s="62">
        <v>0</v>
      </c>
      <c r="D1303" s="62">
        <v>0</v>
      </c>
    </row>
    <row r="1304" spans="1:4">
      <c r="A1304" s="62" t="s">
        <v>1447</v>
      </c>
      <c r="B1304" s="62">
        <v>0</v>
      </c>
      <c r="C1304" s="62">
        <v>0</v>
      </c>
      <c r="D1304" s="62">
        <v>0</v>
      </c>
    </row>
    <row r="1305" spans="1:4">
      <c r="A1305" s="62" t="s">
        <v>1448</v>
      </c>
      <c r="B1305" s="62">
        <v>0</v>
      </c>
      <c r="C1305" s="62">
        <v>0</v>
      </c>
      <c r="D1305" s="62">
        <v>0</v>
      </c>
    </row>
    <row r="1306" spans="1:4">
      <c r="A1306" s="62" t="s">
        <v>1449</v>
      </c>
      <c r="B1306" s="62">
        <v>0</v>
      </c>
      <c r="C1306" s="62">
        <v>0</v>
      </c>
      <c r="D1306" s="62">
        <v>0</v>
      </c>
    </row>
    <row r="1307" spans="1:4">
      <c r="A1307" s="62" t="s">
        <v>1450</v>
      </c>
      <c r="B1307" s="62">
        <v>0</v>
      </c>
      <c r="C1307" s="62">
        <v>0</v>
      </c>
      <c r="D1307" s="62">
        <v>0</v>
      </c>
    </row>
    <row r="1308" spans="1:4">
      <c r="A1308" s="62" t="s">
        <v>1451</v>
      </c>
      <c r="B1308" s="62">
        <v>0</v>
      </c>
      <c r="C1308" s="62">
        <v>0</v>
      </c>
      <c r="D1308" s="62">
        <v>0</v>
      </c>
    </row>
    <row r="1309" spans="1:4">
      <c r="A1309" s="62" t="s">
        <v>1452</v>
      </c>
      <c r="B1309" s="62">
        <v>0</v>
      </c>
      <c r="C1309" s="62">
        <v>0</v>
      </c>
      <c r="D1309" s="62">
        <v>0</v>
      </c>
    </row>
    <row r="1310" spans="1:4">
      <c r="A1310" s="62" t="s">
        <v>1453</v>
      </c>
      <c r="B1310" s="62">
        <v>0</v>
      </c>
      <c r="C1310" s="62">
        <v>0</v>
      </c>
      <c r="D1310" s="62">
        <v>0</v>
      </c>
    </row>
    <row r="1311" spans="1:4">
      <c r="A1311" s="62" t="s">
        <v>1454</v>
      </c>
      <c r="B1311" s="62">
        <v>0</v>
      </c>
      <c r="C1311" s="62">
        <v>0</v>
      </c>
      <c r="D1311" s="62">
        <v>0</v>
      </c>
    </row>
    <row r="1312" spans="1:4">
      <c r="A1312" s="62" t="s">
        <v>1455</v>
      </c>
      <c r="B1312" s="62">
        <v>0</v>
      </c>
      <c r="C1312" s="62">
        <v>0</v>
      </c>
      <c r="D1312" s="62">
        <v>0</v>
      </c>
    </row>
    <row r="1313" spans="1:4">
      <c r="A1313" s="62" t="s">
        <v>1456</v>
      </c>
      <c r="B1313" s="62">
        <v>0</v>
      </c>
      <c r="C1313" s="62">
        <v>0</v>
      </c>
      <c r="D1313" s="62">
        <v>0</v>
      </c>
    </row>
    <row r="1314" spans="1:4">
      <c r="A1314" s="62" t="s">
        <v>1457</v>
      </c>
      <c r="B1314" s="62">
        <v>0</v>
      </c>
      <c r="C1314" s="62">
        <v>0</v>
      </c>
      <c r="D1314" s="62">
        <v>0</v>
      </c>
    </row>
    <row r="1315" spans="1:4">
      <c r="A1315" s="62" t="s">
        <v>1458</v>
      </c>
      <c r="B1315" s="62">
        <v>0</v>
      </c>
      <c r="C1315" s="62">
        <v>0</v>
      </c>
      <c r="D1315" s="62">
        <v>0</v>
      </c>
    </row>
    <row r="1316" spans="1:4">
      <c r="A1316" s="62" t="s">
        <v>1459</v>
      </c>
      <c r="B1316" s="62">
        <v>0</v>
      </c>
      <c r="C1316" s="62">
        <v>0</v>
      </c>
      <c r="D1316" s="62">
        <v>0</v>
      </c>
    </row>
    <row r="1317" spans="1:4">
      <c r="A1317" s="62" t="s">
        <v>1460</v>
      </c>
      <c r="B1317" s="62">
        <v>0</v>
      </c>
      <c r="C1317" s="62">
        <v>0</v>
      </c>
      <c r="D1317" s="62">
        <v>0</v>
      </c>
    </row>
    <row r="1318" spans="1:4">
      <c r="A1318" s="62" t="s">
        <v>1461</v>
      </c>
      <c r="B1318" s="62">
        <v>0</v>
      </c>
      <c r="C1318" s="62">
        <v>0</v>
      </c>
      <c r="D1318" s="62">
        <v>0</v>
      </c>
    </row>
    <row r="1319" spans="1:4">
      <c r="A1319" s="62" t="s">
        <v>1462</v>
      </c>
      <c r="B1319" s="62">
        <v>0</v>
      </c>
      <c r="C1319" s="62">
        <v>0</v>
      </c>
      <c r="D1319" s="62">
        <v>0</v>
      </c>
    </row>
    <row r="1320" spans="1:4">
      <c r="A1320" s="62" t="s">
        <v>1463</v>
      </c>
      <c r="B1320" s="62">
        <v>0</v>
      </c>
      <c r="C1320" s="62">
        <v>0</v>
      </c>
      <c r="D1320" s="62">
        <v>0</v>
      </c>
    </row>
    <row r="1321" spans="1:4">
      <c r="A1321" s="62" t="s">
        <v>1464</v>
      </c>
      <c r="B1321" s="62">
        <v>0</v>
      </c>
      <c r="C1321" s="62">
        <v>0</v>
      </c>
      <c r="D1321" s="62">
        <v>0</v>
      </c>
    </row>
    <row r="1322" spans="1:4">
      <c r="A1322" s="62" t="s">
        <v>1465</v>
      </c>
      <c r="B1322" s="62">
        <v>0</v>
      </c>
      <c r="C1322" s="62">
        <v>0</v>
      </c>
      <c r="D1322" s="62">
        <v>0</v>
      </c>
    </row>
    <row r="1323" spans="1:4">
      <c r="A1323" s="62" t="s">
        <v>1466</v>
      </c>
      <c r="B1323" s="62">
        <v>0</v>
      </c>
      <c r="C1323" s="62">
        <v>0</v>
      </c>
      <c r="D1323" s="62">
        <v>0</v>
      </c>
    </row>
    <row r="1324" spans="1:4">
      <c r="A1324" s="62" t="s">
        <v>1467</v>
      </c>
      <c r="B1324" s="62">
        <v>0</v>
      </c>
      <c r="C1324" s="62">
        <v>0</v>
      </c>
      <c r="D1324" s="62">
        <v>0</v>
      </c>
    </row>
    <row r="1325" spans="1:4">
      <c r="A1325" s="62" t="s">
        <v>1468</v>
      </c>
      <c r="B1325" s="62">
        <v>0</v>
      </c>
      <c r="C1325" s="62">
        <v>0</v>
      </c>
      <c r="D1325" s="62">
        <v>0</v>
      </c>
    </row>
    <row r="1326" spans="1:4">
      <c r="A1326" s="62" t="s">
        <v>1469</v>
      </c>
      <c r="B1326" s="62">
        <v>0</v>
      </c>
      <c r="C1326" s="62">
        <v>0</v>
      </c>
      <c r="D1326" s="62">
        <v>0</v>
      </c>
    </row>
    <row r="1327" spans="1:4">
      <c r="A1327" s="62" t="s">
        <v>1470</v>
      </c>
      <c r="B1327" s="62">
        <v>0</v>
      </c>
      <c r="C1327" s="62">
        <v>0</v>
      </c>
      <c r="D1327" s="62">
        <v>0</v>
      </c>
    </row>
    <row r="1328" spans="1:4">
      <c r="A1328" s="62" t="s">
        <v>1471</v>
      </c>
      <c r="B1328" s="62">
        <v>0</v>
      </c>
      <c r="C1328" s="62">
        <v>0</v>
      </c>
      <c r="D1328" s="62">
        <v>0</v>
      </c>
    </row>
    <row r="1329" spans="1:4">
      <c r="A1329" s="62" t="s">
        <v>1472</v>
      </c>
      <c r="B1329" s="62">
        <v>0</v>
      </c>
      <c r="C1329" s="62">
        <v>0</v>
      </c>
      <c r="D1329" s="62">
        <v>0</v>
      </c>
    </row>
    <row r="1330" spans="1:4">
      <c r="A1330" s="62" t="s">
        <v>1473</v>
      </c>
      <c r="B1330" s="62">
        <v>0</v>
      </c>
      <c r="C1330" s="62">
        <v>0</v>
      </c>
      <c r="D1330" s="62">
        <v>0</v>
      </c>
    </row>
    <row r="1331" spans="1:4">
      <c r="A1331" s="62" t="s">
        <v>1474</v>
      </c>
      <c r="B1331" s="62">
        <v>0</v>
      </c>
      <c r="C1331" s="62">
        <v>0</v>
      </c>
      <c r="D1331" s="62">
        <v>0</v>
      </c>
    </row>
    <row r="1332" spans="1:4">
      <c r="A1332" s="62" t="s">
        <v>1475</v>
      </c>
      <c r="B1332" s="62">
        <v>0</v>
      </c>
      <c r="C1332" s="62">
        <v>0</v>
      </c>
      <c r="D1332" s="62">
        <v>0</v>
      </c>
    </row>
    <row r="1333" spans="1:4">
      <c r="A1333" s="62" t="s">
        <v>1476</v>
      </c>
      <c r="B1333" s="62">
        <v>0</v>
      </c>
      <c r="C1333" s="62">
        <v>0</v>
      </c>
      <c r="D1333" s="62">
        <v>0</v>
      </c>
    </row>
    <row r="1334" spans="1:4">
      <c r="A1334" s="62" t="s">
        <v>1477</v>
      </c>
      <c r="B1334" s="62">
        <v>0</v>
      </c>
      <c r="C1334" s="62">
        <v>0</v>
      </c>
      <c r="D1334" s="62">
        <v>0</v>
      </c>
    </row>
    <row r="1335" spans="1:4">
      <c r="A1335" s="62" t="s">
        <v>1478</v>
      </c>
      <c r="B1335" s="62">
        <v>0</v>
      </c>
      <c r="C1335" s="62">
        <v>0</v>
      </c>
      <c r="D1335" s="62">
        <v>0</v>
      </c>
    </row>
    <row r="1336" spans="1:4">
      <c r="A1336" s="62" t="s">
        <v>1479</v>
      </c>
      <c r="B1336" s="62">
        <v>0</v>
      </c>
      <c r="C1336" s="62">
        <v>0</v>
      </c>
      <c r="D1336" s="62">
        <v>0</v>
      </c>
    </row>
    <row r="1337" spans="1:4">
      <c r="A1337" s="62" t="s">
        <v>1480</v>
      </c>
      <c r="B1337" s="62">
        <v>0</v>
      </c>
      <c r="C1337" s="62">
        <v>0</v>
      </c>
      <c r="D1337" s="62">
        <v>0</v>
      </c>
    </row>
    <row r="1338" spans="1:4">
      <c r="A1338" s="62" t="s">
        <v>1481</v>
      </c>
      <c r="B1338" s="62">
        <v>0</v>
      </c>
      <c r="C1338" s="62">
        <v>0</v>
      </c>
      <c r="D1338" s="62">
        <v>0</v>
      </c>
    </row>
    <row r="1339" spans="1:4">
      <c r="A1339" s="62" t="s">
        <v>1482</v>
      </c>
      <c r="B1339" s="62">
        <v>0</v>
      </c>
      <c r="C1339" s="62">
        <v>0</v>
      </c>
      <c r="D1339" s="62">
        <v>0</v>
      </c>
    </row>
    <row r="1340" spans="1:4">
      <c r="A1340" s="62" t="s">
        <v>1483</v>
      </c>
      <c r="B1340" s="62">
        <v>0</v>
      </c>
      <c r="C1340" s="62">
        <v>0</v>
      </c>
      <c r="D1340" s="62">
        <v>0</v>
      </c>
    </row>
    <row r="1341" spans="1:4">
      <c r="A1341" s="62" t="s">
        <v>1484</v>
      </c>
      <c r="B1341" s="62">
        <v>0</v>
      </c>
      <c r="C1341" s="62">
        <v>0</v>
      </c>
      <c r="D1341" s="62">
        <v>0</v>
      </c>
    </row>
    <row r="1342" spans="1:4">
      <c r="A1342" s="62" t="s">
        <v>1485</v>
      </c>
      <c r="B1342" s="62">
        <v>0</v>
      </c>
      <c r="C1342" s="62">
        <v>0</v>
      </c>
      <c r="D1342" s="62">
        <v>0</v>
      </c>
    </row>
    <row r="1343" spans="1:4">
      <c r="A1343" s="62" t="s">
        <v>1486</v>
      </c>
      <c r="B1343" s="62">
        <v>0</v>
      </c>
      <c r="C1343" s="62">
        <v>0</v>
      </c>
      <c r="D1343" s="62">
        <v>0</v>
      </c>
    </row>
    <row r="1344" spans="1:4">
      <c r="A1344" s="62" t="s">
        <v>1487</v>
      </c>
      <c r="B1344" s="62">
        <v>0</v>
      </c>
      <c r="C1344" s="62">
        <v>0</v>
      </c>
      <c r="D1344" s="62">
        <v>0</v>
      </c>
    </row>
    <row r="1345" spans="1:4">
      <c r="A1345" s="62" t="s">
        <v>1488</v>
      </c>
      <c r="B1345" s="62">
        <v>0</v>
      </c>
      <c r="C1345" s="62">
        <v>0</v>
      </c>
      <c r="D1345" s="62">
        <v>0</v>
      </c>
    </row>
    <row r="1346" spans="1:4">
      <c r="A1346" s="62" t="s">
        <v>1489</v>
      </c>
      <c r="B1346" s="62">
        <v>0</v>
      </c>
      <c r="C1346" s="62">
        <v>0</v>
      </c>
      <c r="D1346" s="62">
        <v>0</v>
      </c>
    </row>
    <row r="1347" spans="1:4">
      <c r="A1347" s="62" t="s">
        <v>1490</v>
      </c>
      <c r="B1347" s="62">
        <v>0</v>
      </c>
      <c r="C1347" s="62">
        <v>0</v>
      </c>
      <c r="D1347" s="62">
        <v>0</v>
      </c>
    </row>
    <row r="1348" spans="1:4">
      <c r="A1348" s="62" t="s">
        <v>1491</v>
      </c>
      <c r="B1348" s="62">
        <v>0</v>
      </c>
      <c r="C1348" s="62">
        <v>0</v>
      </c>
      <c r="D1348" s="62">
        <v>0</v>
      </c>
    </row>
    <row r="1349" spans="1:4">
      <c r="A1349" s="62" t="s">
        <v>1492</v>
      </c>
      <c r="B1349" s="62">
        <v>0</v>
      </c>
      <c r="C1349" s="62">
        <v>0</v>
      </c>
      <c r="D1349" s="62">
        <v>0</v>
      </c>
    </row>
    <row r="1350" spans="1:4">
      <c r="A1350" s="62" t="s">
        <v>1493</v>
      </c>
      <c r="B1350" s="62">
        <v>0</v>
      </c>
      <c r="C1350" s="62">
        <v>0</v>
      </c>
      <c r="D1350" s="62">
        <v>0</v>
      </c>
    </row>
    <row r="1351" spans="1:4">
      <c r="A1351" s="62" t="s">
        <v>1494</v>
      </c>
      <c r="B1351" s="62">
        <v>0</v>
      </c>
      <c r="C1351" s="62">
        <v>0</v>
      </c>
      <c r="D1351" s="62">
        <v>0</v>
      </c>
    </row>
    <row r="1352" spans="1:4">
      <c r="A1352" s="62" t="s">
        <v>1495</v>
      </c>
      <c r="B1352" s="62">
        <v>0</v>
      </c>
      <c r="C1352" s="62">
        <v>0</v>
      </c>
      <c r="D1352" s="62">
        <v>0</v>
      </c>
    </row>
    <row r="1353" spans="1:4">
      <c r="A1353" s="62" t="s">
        <v>1496</v>
      </c>
      <c r="B1353" s="62">
        <v>0</v>
      </c>
      <c r="C1353" s="62">
        <v>0</v>
      </c>
      <c r="D1353" s="62">
        <v>0</v>
      </c>
    </row>
    <row r="1354" spans="1:4">
      <c r="A1354" s="62" t="s">
        <v>1497</v>
      </c>
      <c r="B1354" s="62">
        <v>0</v>
      </c>
      <c r="C1354" s="62">
        <v>0</v>
      </c>
      <c r="D1354" s="62">
        <v>0</v>
      </c>
    </row>
    <row r="1355" spans="1:4">
      <c r="A1355" s="62" t="s">
        <v>1498</v>
      </c>
      <c r="B1355" s="62">
        <v>0</v>
      </c>
      <c r="C1355" s="62">
        <v>0</v>
      </c>
      <c r="D1355" s="62">
        <v>0</v>
      </c>
    </row>
    <row r="1356" spans="1:4">
      <c r="A1356" s="62" t="s">
        <v>1499</v>
      </c>
      <c r="B1356" s="62">
        <v>0</v>
      </c>
      <c r="C1356" s="62">
        <v>0</v>
      </c>
      <c r="D1356" s="62">
        <v>0</v>
      </c>
    </row>
    <row r="1357" spans="1:4">
      <c r="A1357" s="62" t="s">
        <v>1500</v>
      </c>
      <c r="B1357" s="62">
        <v>0</v>
      </c>
      <c r="C1357" s="62">
        <v>0</v>
      </c>
      <c r="D1357" s="62">
        <v>0</v>
      </c>
    </row>
    <row r="1358" spans="1:4">
      <c r="A1358" s="62" t="s">
        <v>1501</v>
      </c>
      <c r="B1358" s="62">
        <v>0</v>
      </c>
      <c r="C1358" s="62">
        <v>0</v>
      </c>
      <c r="D1358" s="62">
        <v>0</v>
      </c>
    </row>
    <row r="1359" spans="1:4">
      <c r="A1359" s="62" t="s">
        <v>1502</v>
      </c>
      <c r="B1359" s="62">
        <v>0</v>
      </c>
      <c r="C1359" s="62">
        <v>0</v>
      </c>
      <c r="D1359" s="62">
        <v>0</v>
      </c>
    </row>
    <row r="1360" spans="1:4">
      <c r="A1360" s="62" t="s">
        <v>1503</v>
      </c>
      <c r="B1360" s="62">
        <v>0</v>
      </c>
      <c r="C1360" s="62">
        <v>0</v>
      </c>
      <c r="D1360" s="62">
        <v>0</v>
      </c>
    </row>
    <row r="1361" spans="1:4">
      <c r="A1361" s="62" t="s">
        <v>1504</v>
      </c>
      <c r="B1361" s="62">
        <v>0</v>
      </c>
      <c r="C1361" s="62">
        <v>0</v>
      </c>
      <c r="D1361" s="62">
        <v>0</v>
      </c>
    </row>
    <row r="1362" spans="1:4">
      <c r="A1362" s="62" t="s">
        <v>1505</v>
      </c>
      <c r="B1362" s="62">
        <v>0</v>
      </c>
      <c r="C1362" s="62">
        <v>0</v>
      </c>
      <c r="D1362" s="62">
        <v>0</v>
      </c>
    </row>
    <row r="1363" spans="1:4">
      <c r="A1363" s="62" t="s">
        <v>1506</v>
      </c>
      <c r="B1363" s="62">
        <v>0</v>
      </c>
      <c r="C1363" s="62">
        <v>0</v>
      </c>
      <c r="D1363" s="62">
        <v>0</v>
      </c>
    </row>
    <row r="1364" spans="1:4">
      <c r="A1364" s="62" t="s">
        <v>1507</v>
      </c>
      <c r="B1364" s="62">
        <v>0</v>
      </c>
      <c r="C1364" s="62">
        <v>0</v>
      </c>
      <c r="D1364" s="62">
        <v>0</v>
      </c>
    </row>
    <row r="1365" spans="1:4">
      <c r="A1365" s="62" t="s">
        <v>1508</v>
      </c>
      <c r="B1365" s="62">
        <v>0</v>
      </c>
      <c r="C1365" s="62">
        <v>0</v>
      </c>
      <c r="D1365" s="62">
        <v>0</v>
      </c>
    </row>
    <row r="1366" spans="1:4">
      <c r="A1366" s="62" t="s">
        <v>1509</v>
      </c>
      <c r="B1366" s="62">
        <v>0</v>
      </c>
      <c r="C1366" s="62">
        <v>0</v>
      </c>
      <c r="D1366" s="62">
        <v>0</v>
      </c>
    </row>
    <row r="1367" spans="1:4">
      <c r="A1367" s="62" t="s">
        <v>1510</v>
      </c>
      <c r="B1367" s="62">
        <v>0</v>
      </c>
      <c r="C1367" s="62">
        <v>0</v>
      </c>
      <c r="D1367" s="62">
        <v>0</v>
      </c>
    </row>
    <row r="1368" spans="1:4">
      <c r="A1368" s="62" t="s">
        <v>1511</v>
      </c>
      <c r="B1368" s="62">
        <v>0</v>
      </c>
      <c r="C1368" s="62">
        <v>0</v>
      </c>
      <c r="D1368" s="62">
        <v>0</v>
      </c>
    </row>
    <row r="1369" spans="1:4">
      <c r="A1369" s="62" t="s">
        <v>1512</v>
      </c>
      <c r="B1369" s="62">
        <v>0</v>
      </c>
      <c r="C1369" s="62">
        <v>0</v>
      </c>
      <c r="D1369" s="62">
        <v>0</v>
      </c>
    </row>
    <row r="1370" spans="1:4">
      <c r="A1370" s="62" t="s">
        <v>1513</v>
      </c>
      <c r="B1370" s="62">
        <v>0</v>
      </c>
      <c r="C1370" s="62">
        <v>0</v>
      </c>
      <c r="D1370" s="62">
        <v>0</v>
      </c>
    </row>
    <row r="1371" spans="1:4">
      <c r="A1371" s="62" t="s">
        <v>1514</v>
      </c>
      <c r="B1371" s="62">
        <v>0</v>
      </c>
      <c r="C1371" s="62">
        <v>0</v>
      </c>
      <c r="D1371" s="62">
        <v>0</v>
      </c>
    </row>
    <row r="1372" spans="1:4">
      <c r="A1372" s="62" t="s">
        <v>1515</v>
      </c>
      <c r="B1372" s="62">
        <v>0</v>
      </c>
      <c r="C1372" s="62">
        <v>0</v>
      </c>
      <c r="D1372" s="62">
        <v>0</v>
      </c>
    </row>
    <row r="1373" spans="1:4">
      <c r="A1373" s="62" t="s">
        <v>1516</v>
      </c>
      <c r="B1373" s="62">
        <v>0</v>
      </c>
      <c r="C1373" s="62">
        <v>0</v>
      </c>
      <c r="D1373" s="62">
        <v>0</v>
      </c>
    </row>
    <row r="1374" spans="1:4">
      <c r="A1374" s="62" t="s">
        <v>1517</v>
      </c>
      <c r="B1374" s="62">
        <v>0</v>
      </c>
      <c r="C1374" s="62">
        <v>0</v>
      </c>
      <c r="D1374" s="62">
        <v>0</v>
      </c>
    </row>
    <row r="1375" spans="1:4">
      <c r="A1375" s="62" t="s">
        <v>1518</v>
      </c>
      <c r="B1375" s="62">
        <v>0</v>
      </c>
      <c r="C1375" s="62">
        <v>0</v>
      </c>
      <c r="D1375" s="62">
        <v>0</v>
      </c>
    </row>
    <row r="1376" spans="1:4">
      <c r="A1376" s="62" t="s">
        <v>1519</v>
      </c>
      <c r="B1376" s="62">
        <v>0</v>
      </c>
      <c r="C1376" s="62">
        <v>0</v>
      </c>
      <c r="D1376" s="62">
        <v>0</v>
      </c>
    </row>
    <row r="1377" spans="1:4">
      <c r="A1377" s="62" t="s">
        <v>1520</v>
      </c>
      <c r="B1377" s="62">
        <v>0</v>
      </c>
      <c r="C1377" s="62">
        <v>0</v>
      </c>
      <c r="D1377" s="62">
        <v>0</v>
      </c>
    </row>
    <row r="1378" spans="1:4">
      <c r="A1378" s="62" t="s">
        <v>1521</v>
      </c>
      <c r="B1378" s="62">
        <v>0</v>
      </c>
      <c r="C1378" s="62">
        <v>0</v>
      </c>
      <c r="D1378" s="62">
        <v>0</v>
      </c>
    </row>
    <row r="1379" spans="1:4">
      <c r="A1379" s="62" t="s">
        <v>1522</v>
      </c>
      <c r="B1379" s="62">
        <v>0</v>
      </c>
      <c r="C1379" s="62">
        <v>0</v>
      </c>
      <c r="D1379" s="62">
        <v>0</v>
      </c>
    </row>
    <row r="1380" spans="1:4">
      <c r="A1380" s="62" t="s">
        <v>1523</v>
      </c>
      <c r="B1380" s="62">
        <v>0</v>
      </c>
      <c r="C1380" s="62">
        <v>0</v>
      </c>
      <c r="D1380" s="62">
        <v>0</v>
      </c>
    </row>
    <row r="1381" spans="1:4">
      <c r="A1381" s="62" t="s">
        <v>1524</v>
      </c>
      <c r="B1381" s="62">
        <v>0</v>
      </c>
      <c r="C1381" s="62">
        <v>0</v>
      </c>
      <c r="D1381" s="62">
        <v>0</v>
      </c>
    </row>
    <row r="1382" spans="1:4">
      <c r="A1382" s="62" t="s">
        <v>1525</v>
      </c>
      <c r="B1382" s="62">
        <v>0</v>
      </c>
      <c r="C1382" s="62">
        <v>0</v>
      </c>
      <c r="D1382" s="62">
        <v>0</v>
      </c>
    </row>
    <row r="1383" spans="1:4">
      <c r="A1383" s="62" t="s">
        <v>1526</v>
      </c>
      <c r="B1383" s="62">
        <v>0</v>
      </c>
      <c r="C1383" s="62">
        <v>0</v>
      </c>
      <c r="D1383" s="62">
        <v>0</v>
      </c>
    </row>
    <row r="1384" spans="1:4">
      <c r="A1384" s="62" t="s">
        <v>1527</v>
      </c>
      <c r="B1384" s="62">
        <v>0</v>
      </c>
      <c r="C1384" s="62">
        <v>0</v>
      </c>
      <c r="D1384" s="62">
        <v>0</v>
      </c>
    </row>
    <row r="1385" spans="1:4">
      <c r="A1385" s="62" t="s">
        <v>1528</v>
      </c>
      <c r="B1385" s="62">
        <v>0</v>
      </c>
      <c r="C1385" s="62">
        <v>0</v>
      </c>
      <c r="D1385" s="62">
        <v>0</v>
      </c>
    </row>
    <row r="1386" spans="1:4">
      <c r="A1386" s="62" t="s">
        <v>1529</v>
      </c>
      <c r="B1386" s="62">
        <v>0</v>
      </c>
      <c r="C1386" s="62">
        <v>0</v>
      </c>
      <c r="D1386" s="62">
        <v>0</v>
      </c>
    </row>
    <row r="1387" spans="1:4">
      <c r="A1387" s="62" t="s">
        <v>1530</v>
      </c>
      <c r="B1387" s="62">
        <v>0</v>
      </c>
      <c r="C1387" s="62">
        <v>0</v>
      </c>
      <c r="D1387" s="62">
        <v>0</v>
      </c>
    </row>
    <row r="1388" spans="1:4">
      <c r="A1388" s="62" t="s">
        <v>1531</v>
      </c>
      <c r="B1388" s="62">
        <v>0</v>
      </c>
      <c r="C1388" s="62">
        <v>0</v>
      </c>
      <c r="D1388" s="62">
        <v>0</v>
      </c>
    </row>
    <row r="1389" spans="1:4">
      <c r="A1389" s="62" t="s">
        <v>1532</v>
      </c>
      <c r="B1389" s="62">
        <v>0</v>
      </c>
      <c r="C1389" s="62">
        <v>0</v>
      </c>
      <c r="D1389" s="62">
        <v>0</v>
      </c>
    </row>
    <row r="1390" spans="1:4">
      <c r="A1390" s="62" t="s">
        <v>1533</v>
      </c>
      <c r="B1390" s="62">
        <v>0</v>
      </c>
      <c r="C1390" s="62">
        <v>0</v>
      </c>
      <c r="D1390" s="62">
        <v>0</v>
      </c>
    </row>
    <row r="1391" spans="1:4">
      <c r="A1391" s="62" t="s">
        <v>1534</v>
      </c>
      <c r="B1391" s="62">
        <v>0</v>
      </c>
      <c r="C1391" s="62">
        <v>0</v>
      </c>
      <c r="D1391" s="62">
        <v>0</v>
      </c>
    </row>
    <row r="1392" spans="1:4">
      <c r="A1392" s="62" t="s">
        <v>1535</v>
      </c>
      <c r="B1392" s="62">
        <v>0</v>
      </c>
      <c r="C1392" s="62">
        <v>0</v>
      </c>
      <c r="D1392" s="62">
        <v>0</v>
      </c>
    </row>
    <row r="1393" spans="1:4">
      <c r="A1393" s="62" t="s">
        <v>1536</v>
      </c>
      <c r="B1393" s="62">
        <v>0</v>
      </c>
      <c r="C1393" s="62">
        <v>0</v>
      </c>
      <c r="D1393" s="62">
        <v>0</v>
      </c>
    </row>
    <row r="1394" spans="1:4">
      <c r="A1394" s="62" t="s">
        <v>1537</v>
      </c>
      <c r="B1394" s="62">
        <v>0</v>
      </c>
      <c r="C1394" s="62">
        <v>0</v>
      </c>
      <c r="D1394" s="62">
        <v>0</v>
      </c>
    </row>
    <row r="1395" spans="1:4">
      <c r="A1395" s="62" t="s">
        <v>1538</v>
      </c>
      <c r="B1395" s="62">
        <v>0</v>
      </c>
      <c r="C1395" s="62">
        <v>0</v>
      </c>
      <c r="D1395" s="62">
        <v>0</v>
      </c>
    </row>
    <row r="1396" spans="1:4">
      <c r="A1396" s="62" t="s">
        <v>1539</v>
      </c>
      <c r="B1396" s="62">
        <v>0</v>
      </c>
      <c r="C1396" s="62">
        <v>0</v>
      </c>
      <c r="D1396" s="62">
        <v>0</v>
      </c>
    </row>
    <row r="1397" spans="1:4">
      <c r="A1397" s="62" t="s">
        <v>1540</v>
      </c>
      <c r="B1397" s="62">
        <v>0</v>
      </c>
      <c r="C1397" s="62">
        <v>0</v>
      </c>
      <c r="D1397" s="62">
        <v>0</v>
      </c>
    </row>
    <row r="1398" spans="1:4">
      <c r="A1398" s="62" t="s">
        <v>1541</v>
      </c>
      <c r="B1398" s="62">
        <v>0</v>
      </c>
      <c r="C1398" s="62">
        <v>0</v>
      </c>
      <c r="D1398" s="62">
        <v>0</v>
      </c>
    </row>
    <row r="1399" spans="1:4">
      <c r="A1399" s="62" t="s">
        <v>1542</v>
      </c>
      <c r="B1399" s="62">
        <v>0</v>
      </c>
      <c r="C1399" s="62">
        <v>0</v>
      </c>
      <c r="D1399" s="62">
        <v>0</v>
      </c>
    </row>
    <row r="1400" spans="1:4">
      <c r="A1400" s="62" t="s">
        <v>1543</v>
      </c>
      <c r="B1400" s="62">
        <v>0</v>
      </c>
      <c r="C1400" s="62">
        <v>0</v>
      </c>
      <c r="D1400" s="62">
        <v>0</v>
      </c>
    </row>
    <row r="1401" spans="1:4">
      <c r="A1401" s="62" t="s">
        <v>1544</v>
      </c>
      <c r="B1401" s="62">
        <v>0</v>
      </c>
      <c r="C1401" s="62">
        <v>0</v>
      </c>
      <c r="D1401" s="62">
        <v>0</v>
      </c>
    </row>
    <row r="1402" spans="1:4">
      <c r="A1402" s="62" t="s">
        <v>1545</v>
      </c>
      <c r="B1402" s="62">
        <v>0</v>
      </c>
      <c r="C1402" s="62">
        <v>0</v>
      </c>
      <c r="D1402" s="62">
        <v>0</v>
      </c>
    </row>
    <row r="1403" spans="1:4">
      <c r="A1403" s="62" t="s">
        <v>1546</v>
      </c>
      <c r="B1403" s="62">
        <v>0</v>
      </c>
      <c r="C1403" s="62">
        <v>0</v>
      </c>
      <c r="D1403" s="62">
        <v>0</v>
      </c>
    </row>
    <row r="1404" spans="1:4">
      <c r="A1404" s="62" t="s">
        <v>1547</v>
      </c>
      <c r="B1404" s="62">
        <v>0</v>
      </c>
      <c r="C1404" s="62">
        <v>0</v>
      </c>
      <c r="D1404" s="62">
        <v>0</v>
      </c>
    </row>
    <row r="1405" spans="1:4">
      <c r="A1405" s="62" t="s">
        <v>1548</v>
      </c>
      <c r="B1405" s="62">
        <v>0</v>
      </c>
      <c r="C1405" s="62">
        <v>0</v>
      </c>
      <c r="D1405" s="62">
        <v>0</v>
      </c>
    </row>
    <row r="1406" spans="1:4">
      <c r="A1406" s="62" t="s">
        <v>1549</v>
      </c>
      <c r="B1406" s="62">
        <v>0</v>
      </c>
      <c r="C1406" s="62">
        <v>0</v>
      </c>
      <c r="D1406" s="62">
        <v>0</v>
      </c>
    </row>
    <row r="1407" spans="1:4">
      <c r="A1407" s="62" t="s">
        <v>1550</v>
      </c>
      <c r="B1407" s="62">
        <v>0</v>
      </c>
      <c r="C1407" s="62">
        <v>0</v>
      </c>
      <c r="D1407" s="62">
        <v>0</v>
      </c>
    </row>
    <row r="1408" spans="1:4">
      <c r="A1408" s="62" t="s">
        <v>1551</v>
      </c>
      <c r="B1408" s="62">
        <v>0</v>
      </c>
      <c r="C1408" s="62">
        <v>0</v>
      </c>
      <c r="D1408" s="62">
        <v>0</v>
      </c>
    </row>
    <row r="1409" spans="1:4">
      <c r="A1409" s="62" t="s">
        <v>1552</v>
      </c>
      <c r="B1409" s="62">
        <v>0</v>
      </c>
      <c r="C1409" s="62">
        <v>0</v>
      </c>
      <c r="D1409" s="62">
        <v>0</v>
      </c>
    </row>
    <row r="1410" spans="1:4">
      <c r="A1410" s="62" t="s">
        <v>1553</v>
      </c>
      <c r="B1410" s="62">
        <v>0</v>
      </c>
      <c r="C1410" s="62">
        <v>0</v>
      </c>
      <c r="D1410" s="62">
        <v>0</v>
      </c>
    </row>
    <row r="1411" spans="1:4">
      <c r="A1411" s="62" t="s">
        <v>1554</v>
      </c>
      <c r="B1411" s="62">
        <v>0</v>
      </c>
      <c r="C1411" s="62">
        <v>0</v>
      </c>
      <c r="D1411" s="62">
        <v>0</v>
      </c>
    </row>
    <row r="1412" spans="1:4">
      <c r="A1412" s="62" t="s">
        <v>1555</v>
      </c>
      <c r="B1412" s="62">
        <v>0</v>
      </c>
      <c r="C1412" s="62">
        <v>0</v>
      </c>
      <c r="D1412" s="62">
        <v>0</v>
      </c>
    </row>
    <row r="1413" spans="1:4">
      <c r="A1413" s="62" t="s">
        <v>1556</v>
      </c>
      <c r="B1413" s="62">
        <v>0</v>
      </c>
      <c r="C1413" s="62">
        <v>0</v>
      </c>
      <c r="D1413" s="62">
        <v>0</v>
      </c>
    </row>
    <row r="1414" spans="1:4">
      <c r="A1414" s="62" t="s">
        <v>1557</v>
      </c>
      <c r="B1414" s="62">
        <v>0</v>
      </c>
      <c r="C1414" s="62">
        <v>0</v>
      </c>
      <c r="D1414" s="62">
        <v>0</v>
      </c>
    </row>
    <row r="1415" spans="1:4">
      <c r="A1415" s="62" t="s">
        <v>1558</v>
      </c>
      <c r="B1415" s="62">
        <v>0</v>
      </c>
      <c r="C1415" s="62">
        <v>0</v>
      </c>
      <c r="D1415" s="62">
        <v>0</v>
      </c>
    </row>
    <row r="1416" spans="1:4">
      <c r="A1416" s="62" t="s">
        <v>1559</v>
      </c>
      <c r="B1416" s="62">
        <v>0</v>
      </c>
      <c r="C1416" s="62">
        <v>0</v>
      </c>
      <c r="D1416" s="62">
        <v>0</v>
      </c>
    </row>
    <row r="1417" spans="1:4">
      <c r="A1417" s="62" t="s">
        <v>1560</v>
      </c>
      <c r="B1417" s="62">
        <v>0</v>
      </c>
      <c r="C1417" s="62">
        <v>0</v>
      </c>
      <c r="D1417" s="62">
        <v>0</v>
      </c>
    </row>
    <row r="1418" spans="1:4">
      <c r="A1418" s="62" t="s">
        <v>1561</v>
      </c>
      <c r="B1418" s="62">
        <v>0</v>
      </c>
      <c r="C1418" s="62">
        <v>0</v>
      </c>
      <c r="D1418" s="62">
        <v>0</v>
      </c>
    </row>
    <row r="1419" spans="1:4">
      <c r="A1419" s="62" t="s">
        <v>1562</v>
      </c>
      <c r="B1419" s="62">
        <v>0</v>
      </c>
      <c r="C1419" s="62">
        <v>0</v>
      </c>
      <c r="D1419" s="62">
        <v>0</v>
      </c>
    </row>
    <row r="1420" spans="1:4">
      <c r="A1420" s="62" t="s">
        <v>1563</v>
      </c>
      <c r="B1420" s="62">
        <v>0</v>
      </c>
      <c r="C1420" s="62">
        <v>0</v>
      </c>
      <c r="D1420" s="62">
        <v>0</v>
      </c>
    </row>
    <row r="1421" spans="1:4">
      <c r="A1421" s="62" t="s">
        <v>1564</v>
      </c>
      <c r="B1421" s="62">
        <v>0</v>
      </c>
      <c r="C1421" s="62">
        <v>0</v>
      </c>
      <c r="D1421" s="62">
        <v>0</v>
      </c>
    </row>
    <row r="1422" spans="1:4">
      <c r="A1422" s="62" t="s">
        <v>1565</v>
      </c>
      <c r="B1422" s="62">
        <v>0</v>
      </c>
      <c r="C1422" s="62">
        <v>0</v>
      </c>
      <c r="D1422" s="62">
        <v>0</v>
      </c>
    </row>
    <row r="1423" spans="1:4">
      <c r="A1423" s="62" t="s">
        <v>1566</v>
      </c>
      <c r="B1423" s="62">
        <v>0</v>
      </c>
      <c r="C1423" s="62">
        <v>0</v>
      </c>
      <c r="D1423" s="62">
        <v>0</v>
      </c>
    </row>
    <row r="1424" spans="1:4">
      <c r="A1424" s="62" t="s">
        <v>1567</v>
      </c>
      <c r="B1424" s="62">
        <v>0</v>
      </c>
      <c r="C1424" s="62">
        <v>0</v>
      </c>
      <c r="D1424" s="62">
        <v>0</v>
      </c>
    </row>
    <row r="1425" spans="1:4">
      <c r="A1425" s="62" t="s">
        <v>1568</v>
      </c>
      <c r="B1425" s="62">
        <v>0</v>
      </c>
      <c r="C1425" s="62">
        <v>0</v>
      </c>
      <c r="D1425" s="62">
        <v>0</v>
      </c>
    </row>
    <row r="1426" spans="1:4">
      <c r="A1426" s="62" t="s">
        <v>1569</v>
      </c>
      <c r="B1426" s="62">
        <v>0</v>
      </c>
      <c r="C1426" s="62">
        <v>0</v>
      </c>
      <c r="D1426" s="62">
        <v>0</v>
      </c>
    </row>
    <row r="1427" spans="1:4">
      <c r="A1427" s="62" t="s">
        <v>1570</v>
      </c>
      <c r="B1427" s="62">
        <v>0</v>
      </c>
      <c r="C1427" s="62">
        <v>0</v>
      </c>
      <c r="D1427" s="62">
        <v>0</v>
      </c>
    </row>
    <row r="1428" spans="1:4">
      <c r="A1428" s="62" t="s">
        <v>1571</v>
      </c>
      <c r="B1428" s="62">
        <v>0</v>
      </c>
      <c r="C1428" s="62">
        <v>0</v>
      </c>
      <c r="D1428" s="62">
        <v>0</v>
      </c>
    </row>
    <row r="1429" spans="1:4">
      <c r="A1429" s="62" t="s">
        <v>1572</v>
      </c>
      <c r="B1429" s="62">
        <v>0</v>
      </c>
      <c r="C1429" s="62">
        <v>0</v>
      </c>
      <c r="D1429" s="62">
        <v>0</v>
      </c>
    </row>
    <row r="1430" spans="1:4">
      <c r="A1430" s="62" t="s">
        <v>1573</v>
      </c>
      <c r="B1430" s="62">
        <v>0</v>
      </c>
      <c r="C1430" s="62">
        <v>0</v>
      </c>
      <c r="D1430" s="62">
        <v>0</v>
      </c>
    </row>
    <row r="1431" spans="1:4">
      <c r="A1431" s="62" t="s">
        <v>1574</v>
      </c>
      <c r="B1431" s="62">
        <v>0</v>
      </c>
      <c r="C1431" s="62">
        <v>0</v>
      </c>
      <c r="D1431" s="62">
        <v>0</v>
      </c>
    </row>
    <row r="1432" spans="1:4">
      <c r="A1432" s="62" t="s">
        <v>1575</v>
      </c>
      <c r="B1432" s="62">
        <v>0</v>
      </c>
      <c r="C1432" s="62">
        <v>0</v>
      </c>
      <c r="D1432" s="62">
        <v>0</v>
      </c>
    </row>
    <row r="1433" spans="1:4">
      <c r="A1433" s="62" t="s">
        <v>1576</v>
      </c>
      <c r="B1433" s="62">
        <v>0</v>
      </c>
      <c r="C1433" s="62">
        <v>0</v>
      </c>
      <c r="D1433" s="62">
        <v>0</v>
      </c>
    </row>
    <row r="1434" spans="1:4">
      <c r="A1434" s="62" t="s">
        <v>1577</v>
      </c>
      <c r="B1434" s="62">
        <v>0</v>
      </c>
      <c r="C1434" s="62">
        <v>0</v>
      </c>
      <c r="D1434" s="62">
        <v>0</v>
      </c>
    </row>
    <row r="1435" spans="1:4">
      <c r="A1435" s="62" t="s">
        <v>1578</v>
      </c>
      <c r="B1435" s="62">
        <v>0</v>
      </c>
      <c r="C1435" s="62">
        <v>0</v>
      </c>
      <c r="D1435" s="62">
        <v>0</v>
      </c>
    </row>
    <row r="1436" spans="1:4">
      <c r="A1436" s="62" t="s">
        <v>1579</v>
      </c>
      <c r="B1436" s="62">
        <v>0</v>
      </c>
      <c r="C1436" s="62">
        <v>0</v>
      </c>
      <c r="D1436" s="62">
        <v>0</v>
      </c>
    </row>
    <row r="1437" spans="1:4">
      <c r="A1437" s="62" t="s">
        <v>1580</v>
      </c>
      <c r="B1437" s="62">
        <v>0</v>
      </c>
      <c r="C1437" s="62">
        <v>0</v>
      </c>
      <c r="D1437" s="62">
        <v>0</v>
      </c>
    </row>
    <row r="1438" spans="1:4">
      <c r="A1438" s="62" t="s">
        <v>1581</v>
      </c>
      <c r="B1438" s="62">
        <v>0</v>
      </c>
      <c r="C1438" s="62">
        <v>0</v>
      </c>
      <c r="D1438" s="62">
        <v>0</v>
      </c>
    </row>
    <row r="1439" spans="1:4">
      <c r="A1439" s="62" t="s">
        <v>1582</v>
      </c>
      <c r="B1439" s="62">
        <v>0</v>
      </c>
      <c r="C1439" s="62">
        <v>0</v>
      </c>
      <c r="D1439" s="62">
        <v>0</v>
      </c>
    </row>
    <row r="1440" spans="1:4">
      <c r="A1440" s="62" t="s">
        <v>1583</v>
      </c>
      <c r="B1440" s="62">
        <v>0</v>
      </c>
      <c r="C1440" s="62">
        <v>0</v>
      </c>
      <c r="D1440" s="62">
        <v>0</v>
      </c>
    </row>
    <row r="1441" spans="1:4">
      <c r="A1441" s="62" t="s">
        <v>1584</v>
      </c>
      <c r="B1441" s="62">
        <v>0</v>
      </c>
      <c r="C1441" s="62">
        <v>0</v>
      </c>
      <c r="D1441" s="62">
        <v>0</v>
      </c>
    </row>
    <row r="1442" spans="1:4">
      <c r="A1442" s="62" t="s">
        <v>1585</v>
      </c>
      <c r="B1442" s="62">
        <v>0</v>
      </c>
      <c r="C1442" s="62">
        <v>0</v>
      </c>
      <c r="D1442" s="62">
        <v>0</v>
      </c>
    </row>
    <row r="1443" spans="1:4">
      <c r="A1443" s="62" t="s">
        <v>1586</v>
      </c>
      <c r="B1443" s="62">
        <v>0</v>
      </c>
      <c r="C1443" s="62">
        <v>0</v>
      </c>
      <c r="D1443" s="62">
        <v>0</v>
      </c>
    </row>
    <row r="1444" spans="1:4">
      <c r="A1444" s="62" t="s">
        <v>1587</v>
      </c>
      <c r="B1444" s="62">
        <v>0</v>
      </c>
      <c r="C1444" s="62">
        <v>0</v>
      </c>
      <c r="D1444" s="62">
        <v>0</v>
      </c>
    </row>
    <row r="1445" spans="1:4">
      <c r="A1445" s="62" t="s">
        <v>1588</v>
      </c>
      <c r="B1445" s="62">
        <v>0</v>
      </c>
      <c r="C1445" s="62">
        <v>0</v>
      </c>
      <c r="D1445" s="62">
        <v>0</v>
      </c>
    </row>
    <row r="1446" spans="1:4">
      <c r="A1446" s="62" t="s">
        <v>1589</v>
      </c>
      <c r="B1446" s="62">
        <v>0</v>
      </c>
      <c r="C1446" s="62">
        <v>0</v>
      </c>
      <c r="D1446" s="62">
        <v>0</v>
      </c>
    </row>
    <row r="1447" spans="1:4">
      <c r="A1447" s="62" t="s">
        <v>1590</v>
      </c>
      <c r="B1447" s="62">
        <v>0</v>
      </c>
      <c r="C1447" s="62">
        <v>0</v>
      </c>
      <c r="D1447" s="62">
        <v>0</v>
      </c>
    </row>
    <row r="1448" spans="1:4">
      <c r="A1448" s="62" t="s">
        <v>1591</v>
      </c>
      <c r="B1448" s="62">
        <v>0</v>
      </c>
      <c r="C1448" s="62">
        <v>0</v>
      </c>
      <c r="D1448" s="62">
        <v>0</v>
      </c>
    </row>
    <row r="1449" spans="1:4">
      <c r="A1449" s="62" t="s">
        <v>1592</v>
      </c>
      <c r="B1449" s="62">
        <v>0</v>
      </c>
      <c r="C1449" s="62">
        <v>0</v>
      </c>
      <c r="D1449" s="62">
        <v>0</v>
      </c>
    </row>
    <row r="1450" spans="1:4">
      <c r="A1450" s="62" t="s">
        <v>1593</v>
      </c>
      <c r="B1450" s="62">
        <v>0</v>
      </c>
      <c r="C1450" s="62">
        <v>0</v>
      </c>
      <c r="D1450" s="62">
        <v>0</v>
      </c>
    </row>
    <row r="1451" spans="1:4">
      <c r="A1451" s="62" t="s">
        <v>1594</v>
      </c>
      <c r="B1451" s="62">
        <v>0</v>
      </c>
      <c r="C1451" s="62">
        <v>0</v>
      </c>
      <c r="D1451" s="62">
        <v>0</v>
      </c>
    </row>
    <row r="1452" spans="1:4">
      <c r="A1452" s="62" t="s">
        <v>1595</v>
      </c>
      <c r="B1452" s="62">
        <v>0</v>
      </c>
      <c r="C1452" s="62">
        <v>0</v>
      </c>
      <c r="D1452" s="62">
        <v>0</v>
      </c>
    </row>
    <row r="1453" spans="1:4">
      <c r="A1453" s="62" t="s">
        <v>1596</v>
      </c>
      <c r="B1453" s="62">
        <v>0</v>
      </c>
      <c r="C1453" s="62">
        <v>0</v>
      </c>
      <c r="D1453" s="62">
        <v>0</v>
      </c>
    </row>
    <row r="1454" spans="1:4">
      <c r="A1454" s="62" t="s">
        <v>1597</v>
      </c>
      <c r="B1454" s="62">
        <v>0</v>
      </c>
      <c r="C1454" s="62">
        <v>0</v>
      </c>
      <c r="D1454" s="62">
        <v>0</v>
      </c>
    </row>
    <row r="1455" spans="1:4">
      <c r="A1455" s="62" t="s">
        <v>1598</v>
      </c>
      <c r="B1455" s="62">
        <v>0</v>
      </c>
      <c r="C1455" s="62">
        <v>0</v>
      </c>
      <c r="D1455" s="62">
        <v>0</v>
      </c>
    </row>
    <row r="1456" spans="1:4">
      <c r="A1456" s="62" t="s">
        <v>1599</v>
      </c>
      <c r="B1456" s="62">
        <v>0</v>
      </c>
      <c r="C1456" s="62">
        <v>0</v>
      </c>
      <c r="D1456" s="62">
        <v>0</v>
      </c>
    </row>
    <row r="1457" spans="1:4">
      <c r="A1457" s="62" t="s">
        <v>1600</v>
      </c>
      <c r="B1457" s="62">
        <v>0</v>
      </c>
      <c r="C1457" s="62">
        <v>0</v>
      </c>
      <c r="D1457" s="62">
        <v>0</v>
      </c>
    </row>
    <row r="1458" spans="1:4">
      <c r="A1458" s="62" t="s">
        <v>1601</v>
      </c>
      <c r="B1458" s="62">
        <v>0</v>
      </c>
      <c r="C1458" s="62">
        <v>0</v>
      </c>
      <c r="D1458" s="62">
        <v>0</v>
      </c>
    </row>
    <row r="1459" spans="1:4">
      <c r="A1459" s="62" t="s">
        <v>1602</v>
      </c>
      <c r="B1459" s="62">
        <v>0</v>
      </c>
      <c r="C1459" s="62">
        <v>0</v>
      </c>
      <c r="D1459" s="62">
        <v>0</v>
      </c>
    </row>
    <row r="1460" spans="1:4">
      <c r="A1460" s="62" t="s">
        <v>1603</v>
      </c>
      <c r="B1460" s="62">
        <v>0</v>
      </c>
      <c r="C1460" s="62">
        <v>0</v>
      </c>
      <c r="D1460" s="62">
        <v>0</v>
      </c>
    </row>
    <row r="1461" spans="1:4">
      <c r="A1461" s="62" t="s">
        <v>1604</v>
      </c>
      <c r="B1461" s="62">
        <v>0</v>
      </c>
      <c r="C1461" s="62">
        <v>0</v>
      </c>
      <c r="D1461" s="62">
        <v>0</v>
      </c>
    </row>
    <row r="1462" spans="1:4">
      <c r="A1462" s="62" t="s">
        <v>1605</v>
      </c>
      <c r="B1462" s="62">
        <v>0</v>
      </c>
      <c r="C1462" s="62">
        <v>0</v>
      </c>
      <c r="D1462" s="62">
        <v>0</v>
      </c>
    </row>
    <row r="1463" spans="1:4">
      <c r="A1463" s="62" t="s">
        <v>1606</v>
      </c>
      <c r="B1463" s="62">
        <v>0</v>
      </c>
      <c r="C1463" s="62">
        <v>0</v>
      </c>
      <c r="D1463" s="62">
        <v>0</v>
      </c>
    </row>
    <row r="1464" spans="1:4">
      <c r="A1464" s="62" t="s">
        <v>1607</v>
      </c>
      <c r="B1464" s="62">
        <v>0</v>
      </c>
      <c r="C1464" s="62">
        <v>0</v>
      </c>
      <c r="D1464" s="62">
        <v>0</v>
      </c>
    </row>
    <row r="1465" spans="1:4">
      <c r="A1465" s="62" t="s">
        <v>1608</v>
      </c>
      <c r="B1465" s="62">
        <v>0</v>
      </c>
      <c r="C1465" s="62">
        <v>0</v>
      </c>
      <c r="D1465" s="62">
        <v>0</v>
      </c>
    </row>
    <row r="1466" spans="1:4">
      <c r="A1466" s="62" t="s">
        <v>1609</v>
      </c>
      <c r="B1466" s="62">
        <v>0</v>
      </c>
      <c r="C1466" s="62">
        <v>0</v>
      </c>
      <c r="D1466" s="62">
        <v>0</v>
      </c>
    </row>
    <row r="1467" spans="1:4">
      <c r="A1467" s="62" t="s">
        <v>1610</v>
      </c>
      <c r="B1467" s="62">
        <v>0</v>
      </c>
      <c r="C1467" s="62">
        <v>0</v>
      </c>
      <c r="D1467" s="62">
        <v>0</v>
      </c>
    </row>
    <row r="1468" spans="1:4">
      <c r="A1468" s="62" t="s">
        <v>1611</v>
      </c>
      <c r="B1468" s="62">
        <v>0</v>
      </c>
      <c r="C1468" s="62">
        <v>0</v>
      </c>
      <c r="D1468" s="62">
        <v>0</v>
      </c>
    </row>
    <row r="1469" spans="1:4">
      <c r="A1469" s="62" t="s">
        <v>1612</v>
      </c>
      <c r="B1469" s="62">
        <v>0</v>
      </c>
      <c r="C1469" s="62">
        <v>0</v>
      </c>
      <c r="D1469" s="62">
        <v>0</v>
      </c>
    </row>
    <row r="1470" spans="1:4">
      <c r="A1470" s="62" t="s">
        <v>1613</v>
      </c>
      <c r="B1470" s="62">
        <v>0</v>
      </c>
      <c r="C1470" s="62">
        <v>0</v>
      </c>
      <c r="D1470" s="62">
        <v>0</v>
      </c>
    </row>
    <row r="1471" spans="1:4">
      <c r="A1471" s="62" t="s">
        <v>1614</v>
      </c>
      <c r="B1471" s="62">
        <v>0</v>
      </c>
      <c r="C1471" s="62">
        <v>0</v>
      </c>
      <c r="D1471" s="62">
        <v>0</v>
      </c>
    </row>
    <row r="1472" spans="1:4">
      <c r="A1472" s="62" t="s">
        <v>1615</v>
      </c>
      <c r="B1472" s="62">
        <v>0</v>
      </c>
      <c r="C1472" s="62">
        <v>0</v>
      </c>
      <c r="D1472" s="62">
        <v>0</v>
      </c>
    </row>
    <row r="1473" spans="1:4">
      <c r="A1473" s="62" t="s">
        <v>1616</v>
      </c>
      <c r="B1473" s="62">
        <v>0</v>
      </c>
      <c r="C1473" s="62">
        <v>0</v>
      </c>
      <c r="D1473" s="62">
        <v>0</v>
      </c>
    </row>
    <row r="1474" spans="1:4">
      <c r="A1474" s="62" t="s">
        <v>1617</v>
      </c>
      <c r="B1474" s="62">
        <v>0</v>
      </c>
      <c r="C1474" s="62">
        <v>0</v>
      </c>
      <c r="D1474" s="62">
        <v>0</v>
      </c>
    </row>
    <row r="1475" spans="1:4">
      <c r="A1475" s="62" t="s">
        <v>1618</v>
      </c>
      <c r="B1475" s="62">
        <v>0</v>
      </c>
      <c r="C1475" s="62">
        <v>0</v>
      </c>
      <c r="D1475" s="62">
        <v>0</v>
      </c>
    </row>
    <row r="1476" spans="1:4">
      <c r="A1476" s="62" t="s">
        <v>1619</v>
      </c>
      <c r="B1476" s="62">
        <v>0</v>
      </c>
      <c r="C1476" s="62">
        <v>0</v>
      </c>
      <c r="D1476" s="62">
        <v>0</v>
      </c>
    </row>
    <row r="1477" spans="1:4">
      <c r="A1477" s="62" t="s">
        <v>1620</v>
      </c>
      <c r="B1477" s="62">
        <v>0</v>
      </c>
      <c r="C1477" s="62">
        <v>0</v>
      </c>
      <c r="D1477" s="62">
        <v>0</v>
      </c>
    </row>
    <row r="1478" spans="1:4">
      <c r="A1478" s="62" t="s">
        <v>1621</v>
      </c>
      <c r="B1478" s="62">
        <v>0</v>
      </c>
      <c r="C1478" s="62">
        <v>0</v>
      </c>
      <c r="D1478" s="62">
        <v>0</v>
      </c>
    </row>
    <row r="1479" spans="1:4">
      <c r="A1479" s="62" t="s">
        <v>1622</v>
      </c>
      <c r="B1479" s="62">
        <v>0</v>
      </c>
      <c r="C1479" s="62">
        <v>0</v>
      </c>
      <c r="D1479" s="62">
        <v>0</v>
      </c>
    </row>
    <row r="1480" spans="1:4">
      <c r="A1480" s="62" t="s">
        <v>1623</v>
      </c>
      <c r="B1480" s="62">
        <v>0</v>
      </c>
      <c r="C1480" s="62">
        <v>0</v>
      </c>
      <c r="D1480" s="62">
        <v>0</v>
      </c>
    </row>
    <row r="1481" spans="1:4">
      <c r="A1481" s="62" t="s">
        <v>1624</v>
      </c>
      <c r="B1481" s="62">
        <v>0</v>
      </c>
      <c r="C1481" s="62">
        <v>0</v>
      </c>
      <c r="D1481" s="62">
        <v>0</v>
      </c>
    </row>
    <row r="1482" spans="1:4">
      <c r="A1482" s="62" t="s">
        <v>1625</v>
      </c>
      <c r="B1482" s="62">
        <v>0</v>
      </c>
      <c r="C1482" s="62">
        <v>0</v>
      </c>
      <c r="D1482" s="62">
        <v>0</v>
      </c>
    </row>
    <row r="1483" spans="1:4">
      <c r="A1483" s="62" t="s">
        <v>1626</v>
      </c>
      <c r="B1483" s="62">
        <v>0</v>
      </c>
      <c r="C1483" s="62">
        <v>0</v>
      </c>
      <c r="D1483" s="62">
        <v>0</v>
      </c>
    </row>
    <row r="1484" spans="1:4">
      <c r="A1484" s="62" t="s">
        <v>1627</v>
      </c>
      <c r="B1484" s="62">
        <v>0</v>
      </c>
      <c r="C1484" s="62">
        <v>0</v>
      </c>
      <c r="D1484" s="62">
        <v>0</v>
      </c>
    </row>
    <row r="1485" spans="1:4">
      <c r="A1485" s="62" t="s">
        <v>1628</v>
      </c>
      <c r="B1485" s="62">
        <v>0</v>
      </c>
      <c r="C1485" s="62">
        <v>0</v>
      </c>
      <c r="D1485" s="62">
        <v>0</v>
      </c>
    </row>
    <row r="1486" spans="1:4">
      <c r="A1486" s="62" t="s">
        <v>1629</v>
      </c>
      <c r="B1486" s="62">
        <v>0</v>
      </c>
      <c r="C1486" s="62">
        <v>0</v>
      </c>
      <c r="D1486" s="62">
        <v>0</v>
      </c>
    </row>
    <row r="1487" spans="1:4">
      <c r="A1487" s="62" t="s">
        <v>1630</v>
      </c>
      <c r="B1487" s="62">
        <v>0</v>
      </c>
      <c r="C1487" s="62">
        <v>0</v>
      </c>
      <c r="D1487" s="62">
        <v>0</v>
      </c>
    </row>
    <row r="1488" spans="1:4">
      <c r="A1488" s="62" t="s">
        <v>1631</v>
      </c>
      <c r="B1488" s="62">
        <v>0</v>
      </c>
      <c r="C1488" s="62">
        <v>0</v>
      </c>
      <c r="D1488" s="62">
        <v>0</v>
      </c>
    </row>
    <row r="1489" spans="1:4">
      <c r="A1489" s="62" t="s">
        <v>1632</v>
      </c>
      <c r="B1489" s="62">
        <v>0</v>
      </c>
      <c r="C1489" s="62">
        <v>0</v>
      </c>
      <c r="D1489" s="62">
        <v>0</v>
      </c>
    </row>
    <row r="1490" spans="1:4">
      <c r="A1490" s="62" t="s">
        <v>1633</v>
      </c>
      <c r="B1490" s="62">
        <v>0</v>
      </c>
      <c r="C1490" s="62">
        <v>0</v>
      </c>
      <c r="D1490" s="62">
        <v>0</v>
      </c>
    </row>
    <row r="1491" spans="1:4">
      <c r="A1491" s="62" t="s">
        <v>1634</v>
      </c>
      <c r="B1491" s="62">
        <v>0</v>
      </c>
      <c r="C1491" s="62">
        <v>0</v>
      </c>
      <c r="D1491" s="62">
        <v>0</v>
      </c>
    </row>
    <row r="1492" spans="1:4">
      <c r="A1492" s="62" t="s">
        <v>1635</v>
      </c>
      <c r="B1492" s="62">
        <v>0</v>
      </c>
      <c r="C1492" s="62">
        <v>0</v>
      </c>
      <c r="D1492" s="62">
        <v>0</v>
      </c>
    </row>
    <row r="1493" spans="1:4">
      <c r="A1493" s="62" t="s">
        <v>1636</v>
      </c>
      <c r="B1493" s="62">
        <v>0</v>
      </c>
      <c r="C1493" s="62">
        <v>0</v>
      </c>
      <c r="D1493" s="62">
        <v>0</v>
      </c>
    </row>
    <row r="1494" spans="1:4">
      <c r="A1494" s="62" t="s">
        <v>1637</v>
      </c>
      <c r="B1494" s="62">
        <v>0</v>
      </c>
      <c r="C1494" s="62">
        <v>0</v>
      </c>
      <c r="D1494" s="62">
        <v>0</v>
      </c>
    </row>
    <row r="1495" spans="1:4">
      <c r="A1495" s="62" t="s">
        <v>1638</v>
      </c>
      <c r="B1495" s="62">
        <v>0</v>
      </c>
      <c r="C1495" s="62">
        <v>0</v>
      </c>
      <c r="D1495" s="62">
        <v>0</v>
      </c>
    </row>
    <row r="1496" spans="1:4">
      <c r="A1496" s="62" t="s">
        <v>1639</v>
      </c>
      <c r="B1496" s="62">
        <v>0</v>
      </c>
      <c r="C1496" s="62">
        <v>0</v>
      </c>
      <c r="D1496" s="62">
        <v>0</v>
      </c>
    </row>
    <row r="1497" spans="1:4">
      <c r="A1497" s="62" t="s">
        <v>1640</v>
      </c>
      <c r="B1497" s="62">
        <v>0</v>
      </c>
      <c r="C1497" s="62">
        <v>0</v>
      </c>
      <c r="D1497" s="62">
        <v>0</v>
      </c>
    </row>
    <row r="1498" spans="1:4">
      <c r="A1498" s="62" t="s">
        <v>1641</v>
      </c>
      <c r="B1498" s="62">
        <v>0</v>
      </c>
      <c r="C1498" s="62">
        <v>0</v>
      </c>
      <c r="D1498" s="62">
        <v>0</v>
      </c>
    </row>
    <row r="1499" spans="1:4">
      <c r="A1499" s="62" t="s">
        <v>1642</v>
      </c>
      <c r="B1499" s="62">
        <v>0</v>
      </c>
      <c r="C1499" s="62">
        <v>0</v>
      </c>
      <c r="D1499" s="62">
        <v>0</v>
      </c>
    </row>
    <row r="1500" spans="1:4">
      <c r="A1500" s="62" t="s">
        <v>1643</v>
      </c>
      <c r="B1500" s="62">
        <v>0</v>
      </c>
      <c r="C1500" s="62">
        <v>0</v>
      </c>
      <c r="D1500" s="62">
        <v>0</v>
      </c>
    </row>
    <row r="1501" spans="1:4">
      <c r="A1501" s="62" t="s">
        <v>1644</v>
      </c>
      <c r="B1501" s="62">
        <v>0</v>
      </c>
      <c r="C1501" s="62">
        <v>0</v>
      </c>
      <c r="D1501" s="62">
        <v>0</v>
      </c>
    </row>
    <row r="1502" spans="1:4">
      <c r="A1502" s="62" t="s">
        <v>1645</v>
      </c>
      <c r="B1502" s="62">
        <v>0</v>
      </c>
      <c r="C1502" s="62">
        <v>0</v>
      </c>
      <c r="D1502" s="62">
        <v>0</v>
      </c>
    </row>
    <row r="1503" spans="1:4">
      <c r="A1503" s="62" t="s">
        <v>1646</v>
      </c>
      <c r="B1503" s="62">
        <v>0</v>
      </c>
      <c r="C1503" s="62">
        <v>0</v>
      </c>
      <c r="D1503" s="62">
        <v>0</v>
      </c>
    </row>
    <row r="1504" spans="1:4">
      <c r="A1504" s="62" t="s">
        <v>1647</v>
      </c>
      <c r="B1504" s="62">
        <v>0</v>
      </c>
      <c r="C1504" s="62">
        <v>0</v>
      </c>
      <c r="D1504" s="62">
        <v>0</v>
      </c>
    </row>
    <row r="1505" spans="1:4">
      <c r="A1505" s="62" t="s">
        <v>1648</v>
      </c>
      <c r="B1505" s="62">
        <v>0</v>
      </c>
      <c r="C1505" s="62">
        <v>0</v>
      </c>
      <c r="D1505" s="62">
        <v>0</v>
      </c>
    </row>
    <row r="1506" spans="1:4">
      <c r="A1506" s="62" t="s">
        <v>1649</v>
      </c>
      <c r="B1506" s="62">
        <v>0</v>
      </c>
      <c r="C1506" s="62">
        <v>0</v>
      </c>
      <c r="D1506" s="62">
        <v>0</v>
      </c>
    </row>
    <row r="1507" spans="1:4">
      <c r="A1507" s="62" t="s">
        <v>1650</v>
      </c>
      <c r="B1507" s="62">
        <v>0</v>
      </c>
      <c r="C1507" s="62">
        <v>0</v>
      </c>
      <c r="D1507" s="62">
        <v>0</v>
      </c>
    </row>
    <row r="1508" spans="1:4">
      <c r="A1508" s="62" t="s">
        <v>1651</v>
      </c>
      <c r="B1508" s="62">
        <v>0</v>
      </c>
      <c r="C1508" s="62">
        <v>0</v>
      </c>
      <c r="D1508" s="62">
        <v>0</v>
      </c>
    </row>
    <row r="1509" spans="1:4">
      <c r="A1509" s="62" t="s">
        <v>1652</v>
      </c>
      <c r="B1509" s="62">
        <v>0</v>
      </c>
      <c r="C1509" s="62">
        <v>0</v>
      </c>
      <c r="D1509" s="62">
        <v>0</v>
      </c>
    </row>
    <row r="1510" spans="1:4">
      <c r="A1510" s="62" t="s">
        <v>1653</v>
      </c>
      <c r="B1510" s="62">
        <v>0</v>
      </c>
      <c r="C1510" s="62">
        <v>0</v>
      </c>
      <c r="D1510" s="62">
        <v>0</v>
      </c>
    </row>
    <row r="1511" spans="1:4">
      <c r="A1511" s="62" t="s">
        <v>1654</v>
      </c>
      <c r="B1511" s="62">
        <v>0</v>
      </c>
      <c r="C1511" s="62">
        <v>0</v>
      </c>
      <c r="D1511" s="62">
        <v>0</v>
      </c>
    </row>
    <row r="1512" spans="1:4">
      <c r="A1512" s="62" t="s">
        <v>1655</v>
      </c>
      <c r="B1512" s="62">
        <v>0</v>
      </c>
      <c r="C1512" s="62">
        <v>0</v>
      </c>
      <c r="D1512" s="62">
        <v>0</v>
      </c>
    </row>
    <row r="1513" spans="1:4">
      <c r="A1513" s="62" t="s">
        <v>1656</v>
      </c>
      <c r="B1513" s="62">
        <v>0</v>
      </c>
      <c r="C1513" s="62">
        <v>0</v>
      </c>
      <c r="D1513" s="62">
        <v>0</v>
      </c>
    </row>
    <row r="1514" spans="1:4">
      <c r="A1514" s="62" t="s">
        <v>1657</v>
      </c>
      <c r="B1514" s="62">
        <v>0</v>
      </c>
      <c r="C1514" s="62">
        <v>0</v>
      </c>
      <c r="D1514" s="62">
        <v>0</v>
      </c>
    </row>
    <row r="1515" spans="1:4">
      <c r="A1515" s="62" t="s">
        <v>1658</v>
      </c>
      <c r="B1515" s="62">
        <v>0</v>
      </c>
      <c r="C1515" s="62">
        <v>0</v>
      </c>
      <c r="D1515" s="62">
        <v>0</v>
      </c>
    </row>
    <row r="1516" spans="1:4">
      <c r="A1516" s="62" t="s">
        <v>1659</v>
      </c>
      <c r="B1516" s="62">
        <v>0</v>
      </c>
      <c r="C1516" s="62">
        <v>0</v>
      </c>
      <c r="D1516" s="62">
        <v>0</v>
      </c>
    </row>
    <row r="1517" spans="1:4">
      <c r="A1517" s="62" t="s">
        <v>1660</v>
      </c>
      <c r="B1517" s="62">
        <v>0</v>
      </c>
      <c r="C1517" s="62">
        <v>0</v>
      </c>
      <c r="D1517" s="62">
        <v>0</v>
      </c>
    </row>
    <row r="1518" spans="1:4">
      <c r="A1518" s="62" t="s">
        <v>1661</v>
      </c>
      <c r="B1518" s="62">
        <v>0</v>
      </c>
      <c r="C1518" s="62">
        <v>0</v>
      </c>
      <c r="D1518" s="62">
        <v>0</v>
      </c>
    </row>
    <row r="1519" spans="1:4">
      <c r="A1519" s="62" t="s">
        <v>1662</v>
      </c>
      <c r="B1519" s="62">
        <v>0</v>
      </c>
      <c r="C1519" s="62">
        <v>0</v>
      </c>
      <c r="D1519" s="62">
        <v>0</v>
      </c>
    </row>
    <row r="1520" spans="1:4">
      <c r="A1520" s="62" t="s">
        <v>1663</v>
      </c>
      <c r="B1520" s="62">
        <v>0</v>
      </c>
      <c r="C1520" s="62">
        <v>0</v>
      </c>
      <c r="D1520" s="62">
        <v>0</v>
      </c>
    </row>
    <row r="1521" spans="1:4">
      <c r="A1521" s="62" t="s">
        <v>1664</v>
      </c>
      <c r="B1521" s="62">
        <v>0</v>
      </c>
      <c r="C1521" s="62">
        <v>0</v>
      </c>
      <c r="D1521" s="62">
        <v>0</v>
      </c>
    </row>
    <row r="1522" spans="1:4">
      <c r="A1522" s="62" t="s">
        <v>1665</v>
      </c>
      <c r="B1522" s="62">
        <v>0</v>
      </c>
      <c r="C1522" s="62">
        <v>0</v>
      </c>
      <c r="D1522" s="62">
        <v>0</v>
      </c>
    </row>
    <row r="1523" spans="1:4">
      <c r="A1523" s="62" t="s">
        <v>1666</v>
      </c>
      <c r="B1523" s="62">
        <v>0</v>
      </c>
      <c r="C1523" s="62">
        <v>0</v>
      </c>
      <c r="D1523" s="62">
        <v>0</v>
      </c>
    </row>
    <row r="1524" spans="1:4">
      <c r="A1524" s="62" t="s">
        <v>1667</v>
      </c>
      <c r="B1524" s="62">
        <v>0</v>
      </c>
      <c r="C1524" s="62">
        <v>0</v>
      </c>
      <c r="D1524" s="62">
        <v>0</v>
      </c>
    </row>
    <row r="1525" spans="1:4">
      <c r="A1525" s="62" t="s">
        <v>1668</v>
      </c>
      <c r="B1525" s="62">
        <v>0</v>
      </c>
      <c r="C1525" s="62">
        <v>0</v>
      </c>
      <c r="D1525" s="62">
        <v>0</v>
      </c>
    </row>
    <row r="1526" spans="1:4">
      <c r="A1526" s="62" t="s">
        <v>1669</v>
      </c>
      <c r="B1526" s="62">
        <v>0</v>
      </c>
      <c r="C1526" s="62">
        <v>0</v>
      </c>
      <c r="D1526" s="62">
        <v>0</v>
      </c>
    </row>
    <row r="1527" spans="1:4">
      <c r="A1527" s="62" t="s">
        <v>1670</v>
      </c>
      <c r="B1527" s="62">
        <v>0</v>
      </c>
      <c r="C1527" s="62">
        <v>0</v>
      </c>
      <c r="D1527" s="62">
        <v>0</v>
      </c>
    </row>
    <row r="1528" spans="1:4">
      <c r="A1528" s="62" t="s">
        <v>1671</v>
      </c>
      <c r="B1528" s="62">
        <v>0</v>
      </c>
      <c r="C1528" s="62">
        <v>0</v>
      </c>
      <c r="D1528" s="62">
        <v>0</v>
      </c>
    </row>
    <row r="1529" spans="1:4">
      <c r="A1529" s="62" t="s">
        <v>1672</v>
      </c>
      <c r="B1529" s="62">
        <v>0</v>
      </c>
      <c r="C1529" s="62">
        <v>0</v>
      </c>
      <c r="D1529" s="62">
        <v>0</v>
      </c>
    </row>
    <row r="1530" spans="1:4">
      <c r="A1530" s="62" t="s">
        <v>1673</v>
      </c>
      <c r="B1530" s="62">
        <v>0</v>
      </c>
      <c r="C1530" s="62">
        <v>0</v>
      </c>
      <c r="D1530" s="62">
        <v>0</v>
      </c>
    </row>
    <row r="1531" spans="1:4">
      <c r="A1531" s="62" t="s">
        <v>1674</v>
      </c>
      <c r="B1531" s="62">
        <v>0</v>
      </c>
      <c r="C1531" s="62">
        <v>0</v>
      </c>
      <c r="D1531" s="62">
        <v>0</v>
      </c>
    </row>
    <row r="1532" spans="1:4">
      <c r="A1532" s="62" t="s">
        <v>1675</v>
      </c>
      <c r="B1532" s="62">
        <v>0</v>
      </c>
      <c r="C1532" s="62">
        <v>0</v>
      </c>
      <c r="D1532" s="62">
        <v>0</v>
      </c>
    </row>
    <row r="1533" spans="1:4">
      <c r="A1533" s="62" t="s">
        <v>1676</v>
      </c>
      <c r="B1533" s="62">
        <v>0</v>
      </c>
      <c r="C1533" s="62">
        <v>0</v>
      </c>
      <c r="D1533" s="62">
        <v>0</v>
      </c>
    </row>
    <row r="1534" spans="1:4">
      <c r="A1534" s="62" t="s">
        <v>1677</v>
      </c>
      <c r="B1534" s="62">
        <v>0</v>
      </c>
      <c r="C1534" s="62">
        <v>0</v>
      </c>
      <c r="D1534" s="62">
        <v>0</v>
      </c>
    </row>
    <row r="1535" spans="1:4">
      <c r="A1535" s="62" t="s">
        <v>1678</v>
      </c>
      <c r="B1535" s="62">
        <v>0</v>
      </c>
      <c r="C1535" s="62">
        <v>0</v>
      </c>
      <c r="D1535" s="62">
        <v>0</v>
      </c>
    </row>
    <row r="1536" spans="1:4">
      <c r="A1536" s="62" t="s">
        <v>1679</v>
      </c>
      <c r="B1536" s="62">
        <v>0</v>
      </c>
      <c r="C1536" s="62">
        <v>0</v>
      </c>
      <c r="D1536" s="62">
        <v>0</v>
      </c>
    </row>
    <row r="1537" spans="1:4">
      <c r="A1537" s="62" t="s">
        <v>1680</v>
      </c>
      <c r="B1537" s="62">
        <v>0</v>
      </c>
      <c r="C1537" s="62">
        <v>0</v>
      </c>
      <c r="D1537" s="62">
        <v>0</v>
      </c>
    </row>
    <row r="1538" spans="1:4">
      <c r="A1538" s="62" t="s">
        <v>1681</v>
      </c>
      <c r="B1538" s="62">
        <v>0</v>
      </c>
      <c r="C1538" s="62">
        <v>0</v>
      </c>
      <c r="D1538" s="62">
        <v>0</v>
      </c>
    </row>
    <row r="1539" spans="1:4">
      <c r="A1539" s="62" t="s">
        <v>1682</v>
      </c>
      <c r="B1539" s="62">
        <v>0</v>
      </c>
      <c r="C1539" s="62">
        <v>0</v>
      </c>
      <c r="D1539" s="62">
        <v>0</v>
      </c>
    </row>
    <row r="1540" spans="1:4">
      <c r="A1540" s="62" t="s">
        <v>1683</v>
      </c>
      <c r="B1540" s="62">
        <v>0</v>
      </c>
      <c r="C1540" s="62">
        <v>0</v>
      </c>
      <c r="D1540" s="62">
        <v>0</v>
      </c>
    </row>
    <row r="1541" spans="1:4">
      <c r="A1541" s="62" t="s">
        <v>1684</v>
      </c>
      <c r="B1541" s="62">
        <v>0</v>
      </c>
      <c r="C1541" s="62">
        <v>0</v>
      </c>
      <c r="D1541" s="62">
        <v>0</v>
      </c>
    </row>
    <row r="1542" spans="1:4">
      <c r="A1542" s="62" t="s">
        <v>1685</v>
      </c>
      <c r="B1542" s="62">
        <v>0</v>
      </c>
      <c r="C1542" s="62">
        <v>0</v>
      </c>
      <c r="D1542" s="62">
        <v>0</v>
      </c>
    </row>
    <row r="1543" spans="1:4">
      <c r="A1543" s="62" t="s">
        <v>1686</v>
      </c>
      <c r="B1543" s="62">
        <v>0</v>
      </c>
      <c r="C1543" s="62">
        <v>0</v>
      </c>
      <c r="D1543" s="62">
        <v>0</v>
      </c>
    </row>
    <row r="1544" spans="1:4">
      <c r="A1544" s="62" t="s">
        <v>1687</v>
      </c>
      <c r="B1544" s="62">
        <v>0</v>
      </c>
      <c r="C1544" s="62">
        <v>0</v>
      </c>
      <c r="D1544" s="62">
        <v>0</v>
      </c>
    </row>
    <row r="1545" spans="1:4">
      <c r="A1545" s="62" t="s">
        <v>1688</v>
      </c>
      <c r="B1545" s="62">
        <v>0</v>
      </c>
      <c r="C1545" s="62">
        <v>0</v>
      </c>
      <c r="D1545" s="62">
        <v>0</v>
      </c>
    </row>
    <row r="1546" spans="1:4">
      <c r="A1546" s="62" t="s">
        <v>1689</v>
      </c>
      <c r="B1546" s="62">
        <v>0</v>
      </c>
      <c r="C1546" s="62">
        <v>0</v>
      </c>
      <c r="D1546" s="62">
        <v>0</v>
      </c>
    </row>
    <row r="1547" spans="1:4">
      <c r="A1547" s="62" t="s">
        <v>1690</v>
      </c>
      <c r="B1547" s="62">
        <v>0</v>
      </c>
      <c r="C1547" s="62">
        <v>0</v>
      </c>
      <c r="D1547" s="62">
        <v>0</v>
      </c>
    </row>
    <row r="1548" spans="1:4">
      <c r="A1548" s="62" t="s">
        <v>1691</v>
      </c>
      <c r="B1548" s="62">
        <v>0</v>
      </c>
      <c r="C1548" s="62">
        <v>0</v>
      </c>
      <c r="D1548" s="62">
        <v>0</v>
      </c>
    </row>
    <row r="1549" spans="1:4">
      <c r="A1549" s="62" t="s">
        <v>1692</v>
      </c>
      <c r="B1549" s="62">
        <v>0</v>
      </c>
      <c r="C1549" s="62">
        <v>0</v>
      </c>
      <c r="D1549" s="62">
        <v>0</v>
      </c>
    </row>
    <row r="1550" spans="1:4">
      <c r="A1550" s="62" t="s">
        <v>1693</v>
      </c>
      <c r="B1550" s="62">
        <v>0</v>
      </c>
      <c r="C1550" s="62">
        <v>0</v>
      </c>
      <c r="D1550" s="62">
        <v>0</v>
      </c>
    </row>
    <row r="1551" spans="1:4">
      <c r="A1551" s="62" t="s">
        <v>1694</v>
      </c>
      <c r="B1551" s="62">
        <v>0</v>
      </c>
      <c r="C1551" s="62">
        <v>0</v>
      </c>
      <c r="D1551" s="62">
        <v>0</v>
      </c>
    </row>
    <row r="1552" spans="1:4">
      <c r="A1552" s="62" t="s">
        <v>1695</v>
      </c>
      <c r="B1552" s="62">
        <v>0</v>
      </c>
      <c r="C1552" s="62">
        <v>0</v>
      </c>
      <c r="D1552" s="62">
        <v>0</v>
      </c>
    </row>
    <row r="1553" spans="1:4">
      <c r="A1553" s="62" t="s">
        <v>1696</v>
      </c>
      <c r="B1553" s="62">
        <v>0</v>
      </c>
      <c r="C1553" s="62">
        <v>0</v>
      </c>
      <c r="D1553" s="62">
        <v>0</v>
      </c>
    </row>
    <row r="1554" spans="1:4">
      <c r="A1554" s="62" t="s">
        <v>1697</v>
      </c>
      <c r="B1554" s="62">
        <v>0</v>
      </c>
      <c r="C1554" s="62">
        <v>0</v>
      </c>
      <c r="D1554" s="62">
        <v>0</v>
      </c>
    </row>
    <row r="1555" spans="1:4">
      <c r="A1555" s="62" t="s">
        <v>1698</v>
      </c>
      <c r="B1555" s="62">
        <v>0</v>
      </c>
      <c r="C1555" s="62">
        <v>0</v>
      </c>
      <c r="D1555" s="62">
        <v>0</v>
      </c>
    </row>
    <row r="1556" spans="1:4">
      <c r="A1556" s="62" t="s">
        <v>1699</v>
      </c>
      <c r="B1556" s="62">
        <v>0</v>
      </c>
      <c r="C1556" s="62">
        <v>0</v>
      </c>
      <c r="D1556" s="62">
        <v>0</v>
      </c>
    </row>
    <row r="1557" spans="1:4">
      <c r="A1557" s="62" t="s">
        <v>1700</v>
      </c>
      <c r="B1557" s="62">
        <v>0</v>
      </c>
      <c r="C1557" s="62">
        <v>0</v>
      </c>
      <c r="D1557" s="62">
        <v>0</v>
      </c>
    </row>
    <row r="1558" spans="1:4">
      <c r="A1558" s="62" t="s">
        <v>1701</v>
      </c>
      <c r="B1558" s="62">
        <v>0</v>
      </c>
      <c r="C1558" s="62">
        <v>0</v>
      </c>
      <c r="D1558" s="62">
        <v>0</v>
      </c>
    </row>
    <row r="1559" spans="1:4">
      <c r="A1559" s="62" t="s">
        <v>1702</v>
      </c>
      <c r="B1559" s="62">
        <v>0</v>
      </c>
      <c r="C1559" s="62">
        <v>0</v>
      </c>
      <c r="D1559" s="62">
        <v>0</v>
      </c>
    </row>
    <row r="1560" spans="1:4">
      <c r="A1560" s="62" t="s">
        <v>1703</v>
      </c>
      <c r="B1560" s="62">
        <v>0</v>
      </c>
      <c r="C1560" s="62">
        <v>0</v>
      </c>
      <c r="D1560" s="62">
        <v>0</v>
      </c>
    </row>
    <row r="1561" spans="1:4">
      <c r="A1561" s="62" t="s">
        <v>1704</v>
      </c>
      <c r="B1561" s="62">
        <v>0</v>
      </c>
      <c r="C1561" s="62">
        <v>0</v>
      </c>
      <c r="D1561" s="62">
        <v>0</v>
      </c>
    </row>
    <row r="1562" spans="1:4">
      <c r="A1562" s="62" t="s">
        <v>1705</v>
      </c>
      <c r="B1562" s="62">
        <v>0</v>
      </c>
      <c r="C1562" s="62">
        <v>0</v>
      </c>
      <c r="D1562" s="62">
        <v>0</v>
      </c>
    </row>
    <row r="1563" spans="1:4">
      <c r="A1563" s="62" t="s">
        <v>1706</v>
      </c>
      <c r="B1563" s="62">
        <v>0</v>
      </c>
      <c r="C1563" s="62">
        <v>0</v>
      </c>
      <c r="D1563" s="62">
        <v>0</v>
      </c>
    </row>
    <row r="1564" spans="1:4">
      <c r="A1564" s="62" t="s">
        <v>1707</v>
      </c>
      <c r="B1564" s="62">
        <v>0</v>
      </c>
      <c r="C1564" s="62">
        <v>0</v>
      </c>
      <c r="D1564" s="62">
        <v>0</v>
      </c>
    </row>
    <row r="1565" spans="1:4">
      <c r="A1565" s="62" t="s">
        <v>1708</v>
      </c>
      <c r="B1565" s="62">
        <v>0</v>
      </c>
      <c r="C1565" s="62">
        <v>0</v>
      </c>
      <c r="D1565" s="62">
        <v>0</v>
      </c>
    </row>
    <row r="1566" spans="1:4">
      <c r="A1566" s="62" t="s">
        <v>1709</v>
      </c>
      <c r="B1566" s="62">
        <v>0</v>
      </c>
      <c r="C1566" s="62">
        <v>0</v>
      </c>
      <c r="D1566" s="62">
        <v>0</v>
      </c>
    </row>
    <row r="1567" spans="1:4">
      <c r="A1567" s="62" t="s">
        <v>1710</v>
      </c>
      <c r="B1567" s="62">
        <v>0</v>
      </c>
      <c r="C1567" s="62">
        <v>0</v>
      </c>
      <c r="D1567" s="62">
        <v>0</v>
      </c>
    </row>
    <row r="1568" spans="1:4">
      <c r="A1568" s="62" t="s">
        <v>1711</v>
      </c>
      <c r="B1568" s="62">
        <v>0</v>
      </c>
      <c r="C1568" s="62">
        <v>0</v>
      </c>
      <c r="D1568" s="62">
        <v>0</v>
      </c>
    </row>
    <row r="1569" spans="1:4">
      <c r="A1569" s="62" t="s">
        <v>1712</v>
      </c>
      <c r="B1569" s="62">
        <v>0</v>
      </c>
      <c r="C1569" s="62">
        <v>0</v>
      </c>
      <c r="D1569" s="62">
        <v>0</v>
      </c>
    </row>
    <row r="1570" spans="1:4">
      <c r="A1570" s="62" t="s">
        <v>1713</v>
      </c>
      <c r="B1570" s="62">
        <v>0</v>
      </c>
      <c r="C1570" s="62">
        <v>0</v>
      </c>
      <c r="D1570" s="62">
        <v>0</v>
      </c>
    </row>
    <row r="1571" spans="1:4">
      <c r="A1571" s="62" t="s">
        <v>1714</v>
      </c>
      <c r="B1571" s="62">
        <v>0</v>
      </c>
      <c r="C1571" s="62">
        <v>0</v>
      </c>
      <c r="D1571" s="62">
        <v>0</v>
      </c>
    </row>
    <row r="1572" spans="1:4">
      <c r="A1572" s="62" t="s">
        <v>1715</v>
      </c>
      <c r="B1572" s="62">
        <v>0</v>
      </c>
      <c r="C1572" s="62">
        <v>0</v>
      </c>
      <c r="D1572" s="62">
        <v>0</v>
      </c>
    </row>
    <row r="1573" spans="1:4">
      <c r="A1573" s="62" t="s">
        <v>1716</v>
      </c>
      <c r="B1573" s="62">
        <v>0</v>
      </c>
      <c r="C1573" s="62">
        <v>0</v>
      </c>
      <c r="D1573" s="62">
        <v>0</v>
      </c>
    </row>
    <row r="1574" spans="1:4">
      <c r="A1574" s="62" t="s">
        <v>1717</v>
      </c>
      <c r="B1574" s="62">
        <v>0</v>
      </c>
      <c r="C1574" s="62">
        <v>0</v>
      </c>
      <c r="D1574" s="62">
        <v>0</v>
      </c>
    </row>
    <row r="1575" spans="1:4">
      <c r="A1575" s="62" t="s">
        <v>1718</v>
      </c>
      <c r="B1575" s="62">
        <v>0</v>
      </c>
      <c r="C1575" s="62">
        <v>0</v>
      </c>
      <c r="D1575" s="62">
        <v>0</v>
      </c>
    </row>
    <row r="1576" spans="1:4">
      <c r="A1576" s="62" t="s">
        <v>1719</v>
      </c>
      <c r="B1576" s="62">
        <v>0</v>
      </c>
      <c r="C1576" s="62">
        <v>0</v>
      </c>
      <c r="D1576" s="62">
        <v>0</v>
      </c>
    </row>
    <row r="1577" spans="1:4">
      <c r="A1577" s="62" t="s">
        <v>1720</v>
      </c>
      <c r="B1577" s="62">
        <v>0</v>
      </c>
      <c r="C1577" s="62">
        <v>0</v>
      </c>
      <c r="D1577" s="62">
        <v>0</v>
      </c>
    </row>
    <row r="1578" spans="1:4">
      <c r="A1578" s="62" t="s">
        <v>1721</v>
      </c>
      <c r="B1578" s="62">
        <v>0</v>
      </c>
      <c r="C1578" s="62">
        <v>0</v>
      </c>
      <c r="D1578" s="62">
        <v>0</v>
      </c>
    </row>
    <row r="1579" spans="1:4">
      <c r="A1579" s="62" t="s">
        <v>1722</v>
      </c>
      <c r="B1579" s="62">
        <v>0</v>
      </c>
      <c r="C1579" s="62">
        <v>0</v>
      </c>
      <c r="D1579" s="62">
        <v>0</v>
      </c>
    </row>
    <row r="1580" spans="1:4">
      <c r="A1580" s="62" t="s">
        <v>1723</v>
      </c>
      <c r="B1580" s="62">
        <v>0</v>
      </c>
      <c r="C1580" s="62">
        <v>0</v>
      </c>
      <c r="D1580" s="62">
        <v>0</v>
      </c>
    </row>
    <row r="1581" spans="1:4">
      <c r="A1581" s="62" t="s">
        <v>1724</v>
      </c>
      <c r="B1581" s="62">
        <v>0</v>
      </c>
      <c r="C1581" s="62">
        <v>0</v>
      </c>
      <c r="D1581" s="62">
        <v>0</v>
      </c>
    </row>
    <row r="1582" spans="1:4">
      <c r="A1582" s="62" t="s">
        <v>1725</v>
      </c>
      <c r="B1582" s="62">
        <v>0</v>
      </c>
      <c r="C1582" s="62">
        <v>0</v>
      </c>
      <c r="D1582" s="62">
        <v>0</v>
      </c>
    </row>
    <row r="1583" spans="1:4">
      <c r="A1583" s="62" t="s">
        <v>1726</v>
      </c>
      <c r="B1583" s="62">
        <v>0</v>
      </c>
      <c r="C1583" s="62">
        <v>0</v>
      </c>
      <c r="D1583" s="62">
        <v>0</v>
      </c>
    </row>
    <row r="1584" spans="1:4">
      <c r="A1584" s="62" t="s">
        <v>1727</v>
      </c>
      <c r="B1584" s="62">
        <v>0</v>
      </c>
      <c r="C1584" s="62">
        <v>0</v>
      </c>
      <c r="D1584" s="62">
        <v>0</v>
      </c>
    </row>
    <row r="1585" spans="1:4">
      <c r="A1585" s="62" t="s">
        <v>1728</v>
      </c>
      <c r="B1585" s="62">
        <v>0</v>
      </c>
      <c r="C1585" s="62">
        <v>0</v>
      </c>
      <c r="D1585" s="62">
        <v>0</v>
      </c>
    </row>
    <row r="1586" spans="1:4">
      <c r="A1586" s="62" t="s">
        <v>1729</v>
      </c>
      <c r="B1586" s="62">
        <v>0</v>
      </c>
      <c r="C1586" s="62">
        <v>0</v>
      </c>
      <c r="D1586" s="62">
        <v>0</v>
      </c>
    </row>
    <row r="1587" spans="1:4">
      <c r="A1587" s="62" t="s">
        <v>1730</v>
      </c>
      <c r="B1587" s="62">
        <v>0</v>
      </c>
      <c r="C1587" s="62">
        <v>0</v>
      </c>
      <c r="D1587" s="62">
        <v>0</v>
      </c>
    </row>
    <row r="1588" spans="1:4">
      <c r="A1588" s="62" t="s">
        <v>1731</v>
      </c>
      <c r="B1588" s="62">
        <v>0</v>
      </c>
      <c r="C1588" s="62">
        <v>0</v>
      </c>
      <c r="D1588" s="62">
        <v>0</v>
      </c>
    </row>
    <row r="1589" spans="1:4">
      <c r="A1589" s="62" t="s">
        <v>1732</v>
      </c>
      <c r="B1589" s="62">
        <v>0</v>
      </c>
      <c r="C1589" s="62">
        <v>0</v>
      </c>
      <c r="D1589" s="62">
        <v>0</v>
      </c>
    </row>
    <row r="1590" spans="1:4">
      <c r="A1590" s="62" t="s">
        <v>1733</v>
      </c>
      <c r="B1590" s="62">
        <v>0</v>
      </c>
      <c r="C1590" s="62">
        <v>0</v>
      </c>
      <c r="D1590" s="62">
        <v>0</v>
      </c>
    </row>
    <row r="1591" spans="1:4">
      <c r="A1591" s="62" t="s">
        <v>1734</v>
      </c>
      <c r="B1591" s="62">
        <v>0</v>
      </c>
      <c r="C1591" s="62">
        <v>0</v>
      </c>
      <c r="D1591" s="62">
        <v>0</v>
      </c>
    </row>
    <row r="1592" spans="1:4">
      <c r="A1592" s="62" t="s">
        <v>1735</v>
      </c>
      <c r="B1592" s="62">
        <v>0</v>
      </c>
      <c r="C1592" s="62">
        <v>0</v>
      </c>
      <c r="D1592" s="62">
        <v>0</v>
      </c>
    </row>
    <row r="1593" spans="1:4">
      <c r="A1593" s="62" t="s">
        <v>1736</v>
      </c>
      <c r="B1593" s="62">
        <v>0</v>
      </c>
      <c r="C1593" s="62">
        <v>0</v>
      </c>
      <c r="D1593" s="62">
        <v>0</v>
      </c>
    </row>
    <row r="1594" spans="1:4">
      <c r="A1594" s="62" t="s">
        <v>1737</v>
      </c>
      <c r="B1594" s="62">
        <v>0</v>
      </c>
      <c r="C1594" s="62">
        <v>0</v>
      </c>
      <c r="D1594" s="62">
        <v>0</v>
      </c>
    </row>
    <row r="1595" spans="1:4">
      <c r="A1595" s="62" t="s">
        <v>1738</v>
      </c>
      <c r="B1595" s="62">
        <v>0</v>
      </c>
      <c r="C1595" s="62">
        <v>0</v>
      </c>
      <c r="D1595" s="62">
        <v>0</v>
      </c>
    </row>
    <row r="1596" spans="1:4">
      <c r="A1596" s="62" t="s">
        <v>1739</v>
      </c>
      <c r="B1596" s="62">
        <v>0</v>
      </c>
      <c r="C1596" s="62">
        <v>0</v>
      </c>
      <c r="D1596" s="62">
        <v>0</v>
      </c>
    </row>
    <row r="1597" spans="1:4">
      <c r="A1597" s="62" t="s">
        <v>1740</v>
      </c>
      <c r="B1597" s="62">
        <v>0</v>
      </c>
      <c r="C1597" s="62">
        <v>0</v>
      </c>
      <c r="D1597" s="62">
        <v>0</v>
      </c>
    </row>
    <row r="1598" spans="1:4">
      <c r="A1598" s="62" t="s">
        <v>1741</v>
      </c>
      <c r="B1598" s="62">
        <v>0</v>
      </c>
      <c r="C1598" s="62">
        <v>0</v>
      </c>
      <c r="D1598" s="62">
        <v>0</v>
      </c>
    </row>
    <row r="1599" spans="1:4">
      <c r="A1599" s="62" t="s">
        <v>1742</v>
      </c>
      <c r="B1599" s="62">
        <v>0</v>
      </c>
      <c r="C1599" s="62">
        <v>0</v>
      </c>
      <c r="D1599" s="62">
        <v>0</v>
      </c>
    </row>
    <row r="1600" spans="1:4">
      <c r="A1600" s="62" t="s">
        <v>1743</v>
      </c>
      <c r="B1600" s="62">
        <v>0</v>
      </c>
      <c r="C1600" s="62">
        <v>0</v>
      </c>
      <c r="D1600" s="62">
        <v>0</v>
      </c>
    </row>
    <row r="1601" spans="1:4">
      <c r="A1601" s="62" t="s">
        <v>1744</v>
      </c>
      <c r="B1601" s="62">
        <v>0</v>
      </c>
      <c r="C1601" s="62">
        <v>0</v>
      </c>
      <c r="D1601" s="62">
        <v>0</v>
      </c>
    </row>
    <row r="1602" spans="1:4">
      <c r="A1602" s="62" t="s">
        <v>1745</v>
      </c>
      <c r="B1602" s="62">
        <v>0</v>
      </c>
      <c r="C1602" s="62">
        <v>0</v>
      </c>
      <c r="D1602" s="62">
        <v>0</v>
      </c>
    </row>
    <row r="1603" spans="1:4">
      <c r="A1603" s="62" t="s">
        <v>1746</v>
      </c>
      <c r="B1603" s="62">
        <v>0</v>
      </c>
      <c r="C1603" s="62">
        <v>0</v>
      </c>
      <c r="D1603" s="62">
        <v>0</v>
      </c>
    </row>
    <row r="1604" spans="1:4">
      <c r="A1604" s="62" t="s">
        <v>1747</v>
      </c>
      <c r="B1604" s="62">
        <v>0</v>
      </c>
      <c r="C1604" s="62">
        <v>0</v>
      </c>
      <c r="D1604" s="62">
        <v>0</v>
      </c>
    </row>
    <row r="1605" spans="1:4">
      <c r="A1605" s="62" t="s">
        <v>1748</v>
      </c>
      <c r="B1605" s="62">
        <v>0</v>
      </c>
      <c r="C1605" s="62">
        <v>0</v>
      </c>
      <c r="D1605" s="62">
        <v>0</v>
      </c>
    </row>
    <row r="1606" spans="1:4">
      <c r="A1606" s="62" t="s">
        <v>1749</v>
      </c>
      <c r="B1606" s="62">
        <v>0</v>
      </c>
      <c r="C1606" s="62">
        <v>0</v>
      </c>
      <c r="D1606" s="62">
        <v>0</v>
      </c>
    </row>
    <row r="1607" spans="1:4">
      <c r="A1607" s="62" t="s">
        <v>1750</v>
      </c>
      <c r="B1607" s="62">
        <v>0</v>
      </c>
      <c r="C1607" s="62">
        <v>0</v>
      </c>
      <c r="D1607" s="62">
        <v>0</v>
      </c>
    </row>
    <row r="1608" spans="1:4">
      <c r="A1608" s="62" t="s">
        <v>1751</v>
      </c>
      <c r="B1608" s="62">
        <v>0</v>
      </c>
      <c r="C1608" s="62">
        <v>0</v>
      </c>
      <c r="D1608" s="62">
        <v>0</v>
      </c>
    </row>
    <row r="1609" spans="1:4">
      <c r="A1609" s="62" t="s">
        <v>1752</v>
      </c>
      <c r="B1609" s="62">
        <v>0</v>
      </c>
      <c r="C1609" s="62">
        <v>0</v>
      </c>
      <c r="D1609" s="62">
        <v>0</v>
      </c>
    </row>
    <row r="1610" spans="1:4">
      <c r="A1610" s="62" t="s">
        <v>1753</v>
      </c>
      <c r="B1610" s="62">
        <v>0</v>
      </c>
      <c r="C1610" s="62">
        <v>0</v>
      </c>
      <c r="D1610" s="62">
        <v>0</v>
      </c>
    </row>
    <row r="1611" spans="1:4">
      <c r="A1611" s="62" t="s">
        <v>1754</v>
      </c>
      <c r="B1611" s="62">
        <v>0</v>
      </c>
      <c r="C1611" s="62">
        <v>0</v>
      </c>
      <c r="D1611" s="62">
        <v>0</v>
      </c>
    </row>
    <row r="1612" spans="1:4">
      <c r="A1612" s="62" t="s">
        <v>1755</v>
      </c>
      <c r="B1612" s="62">
        <v>0</v>
      </c>
      <c r="C1612" s="62">
        <v>0</v>
      </c>
      <c r="D1612" s="62">
        <v>0</v>
      </c>
    </row>
    <row r="1613" spans="1:4">
      <c r="A1613" s="62" t="s">
        <v>1756</v>
      </c>
      <c r="B1613" s="62">
        <v>0</v>
      </c>
      <c r="C1613" s="62">
        <v>0</v>
      </c>
      <c r="D1613" s="62">
        <v>0</v>
      </c>
    </row>
    <row r="1614" spans="1:4">
      <c r="A1614" s="62" t="s">
        <v>1757</v>
      </c>
      <c r="B1614" s="62">
        <v>0</v>
      </c>
      <c r="C1614" s="62">
        <v>0</v>
      </c>
      <c r="D1614" s="62">
        <v>0</v>
      </c>
    </row>
    <row r="1615" spans="1:4">
      <c r="A1615" s="62" t="s">
        <v>1758</v>
      </c>
      <c r="B1615" s="62">
        <v>0</v>
      </c>
      <c r="C1615" s="62">
        <v>0</v>
      </c>
      <c r="D1615" s="62">
        <v>0</v>
      </c>
    </row>
    <row r="1616" spans="1:4">
      <c r="A1616" s="62" t="s">
        <v>1759</v>
      </c>
      <c r="B1616" s="62">
        <v>0</v>
      </c>
      <c r="C1616" s="62">
        <v>0</v>
      </c>
      <c r="D1616" s="62">
        <v>0</v>
      </c>
    </row>
    <row r="1617" spans="1:4">
      <c r="A1617" s="62" t="s">
        <v>1760</v>
      </c>
      <c r="B1617" s="62">
        <v>0</v>
      </c>
      <c r="C1617" s="62">
        <v>0</v>
      </c>
      <c r="D1617" s="62">
        <v>0</v>
      </c>
    </row>
    <row r="1618" spans="1:4">
      <c r="A1618" s="62" t="s">
        <v>1761</v>
      </c>
      <c r="B1618" s="62">
        <v>0</v>
      </c>
      <c r="C1618" s="62">
        <v>0</v>
      </c>
      <c r="D1618" s="62">
        <v>0</v>
      </c>
    </row>
    <row r="1619" spans="1:4">
      <c r="A1619" s="62" t="s">
        <v>1762</v>
      </c>
      <c r="B1619" s="62">
        <v>0</v>
      </c>
      <c r="C1619" s="62">
        <v>0</v>
      </c>
      <c r="D1619" s="62">
        <v>0</v>
      </c>
    </row>
    <row r="1620" spans="1:4">
      <c r="A1620" s="62" t="s">
        <v>1763</v>
      </c>
      <c r="B1620" s="62">
        <v>0</v>
      </c>
      <c r="C1620" s="62">
        <v>0</v>
      </c>
      <c r="D1620" s="62">
        <v>0</v>
      </c>
    </row>
    <row r="1621" spans="1:4">
      <c r="A1621" s="62" t="s">
        <v>1764</v>
      </c>
      <c r="B1621" s="62">
        <v>0</v>
      </c>
      <c r="C1621" s="62">
        <v>0</v>
      </c>
      <c r="D1621" s="62">
        <v>0</v>
      </c>
    </row>
    <row r="1622" spans="1:4">
      <c r="A1622" s="62" t="s">
        <v>1765</v>
      </c>
      <c r="B1622" s="62">
        <v>0</v>
      </c>
      <c r="C1622" s="62">
        <v>0</v>
      </c>
      <c r="D1622" s="62">
        <v>0</v>
      </c>
    </row>
    <row r="1623" spans="1:4">
      <c r="A1623" s="62" t="s">
        <v>1766</v>
      </c>
      <c r="B1623" s="62">
        <v>0</v>
      </c>
      <c r="C1623" s="62">
        <v>0</v>
      </c>
      <c r="D1623" s="62">
        <v>0</v>
      </c>
    </row>
    <row r="1624" spans="1:4">
      <c r="A1624" s="62" t="s">
        <v>1767</v>
      </c>
      <c r="B1624" s="62">
        <v>0</v>
      </c>
      <c r="C1624" s="62">
        <v>0</v>
      </c>
      <c r="D1624" s="62">
        <v>0</v>
      </c>
    </row>
    <row r="1625" spans="1:4">
      <c r="A1625" s="62" t="s">
        <v>1768</v>
      </c>
      <c r="B1625" s="62">
        <v>0</v>
      </c>
      <c r="C1625" s="62">
        <v>0</v>
      </c>
      <c r="D1625" s="62">
        <v>0</v>
      </c>
    </row>
    <row r="1626" spans="1:4">
      <c r="A1626" s="62" t="s">
        <v>1769</v>
      </c>
      <c r="B1626" s="62">
        <v>0</v>
      </c>
      <c r="C1626" s="62">
        <v>0</v>
      </c>
      <c r="D1626" s="62">
        <v>0</v>
      </c>
    </row>
    <row r="1627" spans="1:4">
      <c r="A1627" s="62" t="s">
        <v>1770</v>
      </c>
      <c r="B1627" s="62">
        <v>0</v>
      </c>
      <c r="C1627" s="62">
        <v>0</v>
      </c>
      <c r="D1627" s="62">
        <v>0</v>
      </c>
    </row>
    <row r="1628" spans="1:4">
      <c r="A1628" s="62" t="s">
        <v>1771</v>
      </c>
      <c r="B1628" s="62">
        <v>0</v>
      </c>
      <c r="C1628" s="62">
        <v>0</v>
      </c>
      <c r="D1628" s="62">
        <v>0</v>
      </c>
    </row>
    <row r="1629" spans="1:4">
      <c r="A1629" s="62" t="s">
        <v>1772</v>
      </c>
      <c r="B1629" s="62">
        <v>0</v>
      </c>
      <c r="C1629" s="62">
        <v>0</v>
      </c>
      <c r="D1629" s="62">
        <v>0</v>
      </c>
    </row>
    <row r="1630" spans="1:4">
      <c r="A1630" s="62" t="s">
        <v>1773</v>
      </c>
      <c r="B1630" s="62">
        <v>0</v>
      </c>
      <c r="C1630" s="62">
        <v>0</v>
      </c>
      <c r="D1630" s="62">
        <v>0</v>
      </c>
    </row>
    <row r="1631" spans="1:4">
      <c r="A1631" s="62" t="s">
        <v>1774</v>
      </c>
      <c r="B1631" s="62">
        <v>0</v>
      </c>
      <c r="C1631" s="62">
        <v>0</v>
      </c>
      <c r="D1631" s="62">
        <v>0</v>
      </c>
    </row>
    <row r="1632" spans="1:4">
      <c r="A1632" s="62" t="s">
        <v>1775</v>
      </c>
      <c r="B1632" s="62">
        <v>0</v>
      </c>
      <c r="C1632" s="62">
        <v>0</v>
      </c>
      <c r="D1632" s="62">
        <v>0</v>
      </c>
    </row>
    <row r="1633" spans="1:4">
      <c r="A1633" s="62" t="s">
        <v>1776</v>
      </c>
      <c r="B1633" s="62">
        <v>0</v>
      </c>
      <c r="C1633" s="62">
        <v>0</v>
      </c>
      <c r="D1633" s="62">
        <v>0</v>
      </c>
    </row>
    <row r="1634" spans="1:4">
      <c r="A1634" s="62" t="s">
        <v>1777</v>
      </c>
      <c r="B1634" s="62">
        <v>0</v>
      </c>
      <c r="C1634" s="62">
        <v>0</v>
      </c>
      <c r="D1634" s="62">
        <v>0</v>
      </c>
    </row>
    <row r="1635" spans="1:4">
      <c r="A1635" s="62" t="s">
        <v>1778</v>
      </c>
      <c r="B1635" s="62">
        <v>0</v>
      </c>
      <c r="C1635" s="62">
        <v>0</v>
      </c>
      <c r="D1635" s="62">
        <v>0</v>
      </c>
    </row>
    <row r="1636" spans="1:4">
      <c r="A1636" s="62" t="s">
        <v>1779</v>
      </c>
      <c r="B1636" s="62">
        <v>0</v>
      </c>
      <c r="C1636" s="62">
        <v>0</v>
      </c>
      <c r="D1636" s="62">
        <v>0</v>
      </c>
    </row>
    <row r="1637" spans="1:4">
      <c r="A1637" s="62" t="s">
        <v>1780</v>
      </c>
      <c r="B1637" s="62">
        <v>0</v>
      </c>
      <c r="C1637" s="62">
        <v>0</v>
      </c>
      <c r="D1637" s="62">
        <v>0</v>
      </c>
    </row>
    <row r="1638" spans="1:4">
      <c r="A1638" s="62" t="s">
        <v>1781</v>
      </c>
      <c r="B1638" s="62">
        <v>0</v>
      </c>
      <c r="C1638" s="62">
        <v>0</v>
      </c>
      <c r="D1638" s="62">
        <v>0</v>
      </c>
    </row>
    <row r="1639" spans="1:4">
      <c r="A1639" s="62" t="s">
        <v>1782</v>
      </c>
      <c r="B1639" s="62">
        <v>0</v>
      </c>
      <c r="C1639" s="62">
        <v>0</v>
      </c>
      <c r="D1639" s="62">
        <v>0</v>
      </c>
    </row>
    <row r="1640" spans="1:4">
      <c r="A1640" s="62" t="s">
        <v>1783</v>
      </c>
      <c r="B1640" s="62">
        <v>0</v>
      </c>
      <c r="C1640" s="62">
        <v>0</v>
      </c>
      <c r="D1640" s="62">
        <v>0</v>
      </c>
    </row>
    <row r="1641" spans="1:4">
      <c r="A1641" s="62" t="s">
        <v>1784</v>
      </c>
      <c r="B1641" s="62">
        <v>0</v>
      </c>
      <c r="C1641" s="62">
        <v>0</v>
      </c>
      <c r="D1641" s="62">
        <v>0</v>
      </c>
    </row>
    <row r="1642" spans="1:4">
      <c r="A1642" s="62" t="s">
        <v>1785</v>
      </c>
      <c r="B1642" s="62">
        <v>0</v>
      </c>
      <c r="C1642" s="62">
        <v>0</v>
      </c>
      <c r="D1642" s="62">
        <v>0</v>
      </c>
    </row>
    <row r="1643" spans="1:4">
      <c r="A1643" s="62" t="s">
        <v>1786</v>
      </c>
      <c r="B1643" s="62">
        <v>0</v>
      </c>
      <c r="C1643" s="62">
        <v>0</v>
      </c>
      <c r="D1643" s="62">
        <v>0</v>
      </c>
    </row>
    <row r="1644" spans="1:4">
      <c r="A1644" s="62" t="s">
        <v>1787</v>
      </c>
      <c r="B1644" s="62">
        <v>0</v>
      </c>
      <c r="C1644" s="62">
        <v>0</v>
      </c>
      <c r="D1644" s="62">
        <v>0</v>
      </c>
    </row>
    <row r="1645" spans="1:4">
      <c r="A1645" s="62" t="s">
        <v>1788</v>
      </c>
      <c r="B1645" s="62">
        <v>0</v>
      </c>
      <c r="C1645" s="62">
        <v>0</v>
      </c>
      <c r="D1645" s="62">
        <v>0</v>
      </c>
    </row>
    <row r="1646" spans="1:4">
      <c r="A1646" s="62" t="s">
        <v>1789</v>
      </c>
      <c r="B1646" s="62">
        <v>0</v>
      </c>
      <c r="C1646" s="62">
        <v>0</v>
      </c>
      <c r="D1646" s="62">
        <v>0</v>
      </c>
    </row>
    <row r="1647" spans="1:4">
      <c r="A1647" s="62" t="s">
        <v>1790</v>
      </c>
      <c r="B1647" s="62">
        <v>0</v>
      </c>
      <c r="C1647" s="62">
        <v>0</v>
      </c>
      <c r="D1647" s="62">
        <v>0</v>
      </c>
    </row>
    <row r="1648" spans="1:4">
      <c r="A1648" s="62" t="s">
        <v>1791</v>
      </c>
      <c r="B1648" s="62">
        <v>0</v>
      </c>
      <c r="C1648" s="62">
        <v>0</v>
      </c>
      <c r="D1648" s="62">
        <v>0</v>
      </c>
    </row>
    <row r="1649" spans="1:4">
      <c r="A1649" s="62" t="s">
        <v>1792</v>
      </c>
      <c r="B1649" s="62">
        <v>0</v>
      </c>
      <c r="C1649" s="62">
        <v>0</v>
      </c>
      <c r="D1649" s="62">
        <v>0</v>
      </c>
    </row>
    <row r="1650" spans="1:4">
      <c r="A1650" s="62" t="s">
        <v>1793</v>
      </c>
      <c r="B1650" s="62">
        <v>0</v>
      </c>
      <c r="C1650" s="62">
        <v>0</v>
      </c>
      <c r="D1650" s="62">
        <v>0</v>
      </c>
    </row>
    <row r="1651" spans="1:4">
      <c r="A1651" s="62" t="s">
        <v>1794</v>
      </c>
      <c r="B1651" s="62">
        <v>0</v>
      </c>
      <c r="C1651" s="62">
        <v>0</v>
      </c>
      <c r="D1651" s="62">
        <v>0</v>
      </c>
    </row>
    <row r="1652" spans="1:4">
      <c r="A1652" s="62" t="s">
        <v>1795</v>
      </c>
      <c r="B1652" s="62">
        <v>0</v>
      </c>
      <c r="C1652" s="62">
        <v>0</v>
      </c>
      <c r="D1652" s="62">
        <v>0</v>
      </c>
    </row>
    <row r="1653" spans="1:4">
      <c r="A1653" s="62" t="s">
        <v>1796</v>
      </c>
      <c r="B1653" s="62">
        <v>0</v>
      </c>
      <c r="C1653" s="62">
        <v>0</v>
      </c>
      <c r="D1653" s="62">
        <v>0</v>
      </c>
    </row>
    <row r="1654" spans="1:4">
      <c r="A1654" s="62" t="s">
        <v>1797</v>
      </c>
      <c r="B1654" s="62">
        <v>0</v>
      </c>
      <c r="C1654" s="62">
        <v>0</v>
      </c>
      <c r="D1654" s="62">
        <v>0</v>
      </c>
    </row>
    <row r="1655" spans="1:4">
      <c r="A1655" s="62" t="s">
        <v>1798</v>
      </c>
      <c r="B1655" s="62">
        <v>0</v>
      </c>
      <c r="C1655" s="62">
        <v>0</v>
      </c>
      <c r="D1655" s="62">
        <v>0</v>
      </c>
    </row>
    <row r="1656" spans="1:4">
      <c r="A1656" s="62" t="s">
        <v>1799</v>
      </c>
      <c r="B1656" s="62">
        <v>0</v>
      </c>
      <c r="C1656" s="62">
        <v>0</v>
      </c>
      <c r="D1656" s="62">
        <v>0</v>
      </c>
    </row>
    <row r="1657" spans="1:4">
      <c r="A1657" s="62" t="s">
        <v>1800</v>
      </c>
      <c r="B1657" s="62">
        <v>0</v>
      </c>
      <c r="C1657" s="62">
        <v>0</v>
      </c>
      <c r="D1657" s="62">
        <v>0</v>
      </c>
    </row>
    <row r="1658" spans="1:4">
      <c r="A1658" s="62" t="s">
        <v>1801</v>
      </c>
      <c r="B1658" s="62">
        <v>0</v>
      </c>
      <c r="C1658" s="62">
        <v>0</v>
      </c>
      <c r="D1658" s="62">
        <v>0</v>
      </c>
    </row>
    <row r="1659" spans="1:4">
      <c r="A1659" s="62" t="s">
        <v>1802</v>
      </c>
      <c r="B1659" s="62">
        <v>0</v>
      </c>
      <c r="C1659" s="62">
        <v>0</v>
      </c>
      <c r="D1659" s="62">
        <v>0</v>
      </c>
    </row>
    <row r="1660" spans="1:4">
      <c r="A1660" s="62" t="s">
        <v>1803</v>
      </c>
      <c r="B1660" s="62">
        <v>0</v>
      </c>
      <c r="C1660" s="62">
        <v>0</v>
      </c>
      <c r="D1660" s="62">
        <v>0</v>
      </c>
    </row>
    <row r="1661" spans="1:4">
      <c r="A1661" s="62" t="s">
        <v>1804</v>
      </c>
      <c r="B1661" s="62">
        <v>0</v>
      </c>
      <c r="C1661" s="62">
        <v>0</v>
      </c>
      <c r="D1661" s="62">
        <v>0</v>
      </c>
    </row>
    <row r="1662" spans="1:4">
      <c r="A1662" s="62" t="s">
        <v>1805</v>
      </c>
      <c r="B1662" s="62">
        <v>0</v>
      </c>
      <c r="C1662" s="62">
        <v>0</v>
      </c>
      <c r="D1662" s="62">
        <v>0</v>
      </c>
    </row>
    <row r="1663" spans="1:4">
      <c r="A1663" s="62" t="s">
        <v>1806</v>
      </c>
      <c r="B1663" s="62">
        <v>0</v>
      </c>
      <c r="C1663" s="62">
        <v>0</v>
      </c>
      <c r="D1663" s="62">
        <v>0</v>
      </c>
    </row>
    <row r="1664" spans="1:4">
      <c r="A1664" s="62" t="s">
        <v>1807</v>
      </c>
      <c r="B1664" s="62">
        <v>0</v>
      </c>
      <c r="C1664" s="62">
        <v>0</v>
      </c>
      <c r="D1664" s="62">
        <v>0</v>
      </c>
    </row>
    <row r="1665" spans="1:4">
      <c r="A1665" s="62" t="s">
        <v>1808</v>
      </c>
      <c r="B1665" s="62">
        <v>0</v>
      </c>
      <c r="C1665" s="62">
        <v>0</v>
      </c>
      <c r="D1665" s="62">
        <v>0</v>
      </c>
    </row>
    <row r="1666" spans="1:4">
      <c r="A1666" s="62" t="s">
        <v>1809</v>
      </c>
      <c r="B1666" s="62">
        <v>0</v>
      </c>
      <c r="C1666" s="62">
        <v>0</v>
      </c>
      <c r="D1666" s="62">
        <v>0</v>
      </c>
    </row>
    <row r="1667" spans="1:4">
      <c r="A1667" s="62" t="s">
        <v>1810</v>
      </c>
      <c r="B1667" s="62">
        <v>0</v>
      </c>
      <c r="C1667" s="62">
        <v>0</v>
      </c>
      <c r="D1667" s="62">
        <v>0</v>
      </c>
    </row>
    <row r="1668" spans="1:4">
      <c r="A1668" s="62" t="s">
        <v>1811</v>
      </c>
      <c r="B1668" s="62">
        <v>0</v>
      </c>
      <c r="C1668" s="62">
        <v>0</v>
      </c>
      <c r="D1668" s="62">
        <v>0</v>
      </c>
    </row>
    <row r="1669" spans="1:4">
      <c r="A1669" s="62" t="s">
        <v>1812</v>
      </c>
      <c r="B1669" s="62">
        <v>0</v>
      </c>
      <c r="C1669" s="62">
        <v>0</v>
      </c>
      <c r="D1669" s="62">
        <v>0</v>
      </c>
    </row>
    <row r="1670" spans="1:4">
      <c r="A1670" s="62" t="s">
        <v>1813</v>
      </c>
      <c r="B1670" s="62">
        <v>0</v>
      </c>
      <c r="C1670" s="62">
        <v>0</v>
      </c>
      <c r="D1670" s="62">
        <v>0</v>
      </c>
    </row>
    <row r="1671" spans="1:4">
      <c r="A1671" s="62" t="s">
        <v>1814</v>
      </c>
      <c r="B1671" s="62">
        <v>0</v>
      </c>
      <c r="C1671" s="62">
        <v>0</v>
      </c>
      <c r="D1671" s="62">
        <v>0</v>
      </c>
    </row>
    <row r="1672" spans="1:4">
      <c r="A1672" s="62" t="s">
        <v>1815</v>
      </c>
      <c r="B1672" s="62">
        <v>0</v>
      </c>
      <c r="C1672" s="62">
        <v>0</v>
      </c>
      <c r="D1672" s="62">
        <v>0</v>
      </c>
    </row>
    <row r="1673" spans="1:4">
      <c r="A1673" s="62" t="s">
        <v>1816</v>
      </c>
      <c r="B1673" s="62">
        <v>0</v>
      </c>
      <c r="C1673" s="62">
        <v>0</v>
      </c>
      <c r="D1673" s="62">
        <v>0</v>
      </c>
    </row>
    <row r="1674" spans="1:4">
      <c r="A1674" s="62" t="s">
        <v>1817</v>
      </c>
      <c r="B1674" s="62">
        <v>0</v>
      </c>
      <c r="C1674" s="62">
        <v>0</v>
      </c>
      <c r="D1674" s="62">
        <v>0</v>
      </c>
    </row>
    <row r="1675" spans="1:4">
      <c r="A1675" s="62" t="s">
        <v>1818</v>
      </c>
      <c r="B1675" s="62">
        <v>0</v>
      </c>
      <c r="C1675" s="62">
        <v>0</v>
      </c>
      <c r="D1675" s="62">
        <v>0</v>
      </c>
    </row>
    <row r="1676" spans="1:4">
      <c r="A1676" s="62" t="s">
        <v>1819</v>
      </c>
      <c r="B1676" s="62">
        <v>0</v>
      </c>
      <c r="C1676" s="62">
        <v>0</v>
      </c>
      <c r="D1676" s="62">
        <v>0</v>
      </c>
    </row>
    <row r="1677" spans="1:4">
      <c r="A1677" s="62" t="s">
        <v>1820</v>
      </c>
      <c r="B1677" s="62">
        <v>0</v>
      </c>
      <c r="C1677" s="62">
        <v>0</v>
      </c>
      <c r="D1677" s="62">
        <v>0</v>
      </c>
    </row>
    <row r="1678" spans="1:4">
      <c r="A1678" s="62" t="s">
        <v>1821</v>
      </c>
      <c r="B1678" s="62">
        <v>0</v>
      </c>
      <c r="C1678" s="62">
        <v>0</v>
      </c>
      <c r="D1678" s="62">
        <v>0</v>
      </c>
    </row>
    <row r="1679" spans="1:4">
      <c r="A1679" s="62" t="s">
        <v>1822</v>
      </c>
      <c r="B1679" s="62">
        <v>0</v>
      </c>
      <c r="C1679" s="62">
        <v>0</v>
      </c>
      <c r="D1679" s="62">
        <v>0</v>
      </c>
    </row>
    <row r="1680" spans="1:4">
      <c r="A1680" s="62" t="s">
        <v>1823</v>
      </c>
      <c r="B1680" s="62">
        <v>0</v>
      </c>
      <c r="C1680" s="62">
        <v>0</v>
      </c>
      <c r="D1680" s="62">
        <v>0</v>
      </c>
    </row>
    <row r="1681" spans="1:4">
      <c r="A1681" s="62" t="s">
        <v>1824</v>
      </c>
      <c r="B1681" s="62">
        <v>0</v>
      </c>
      <c r="C1681" s="62">
        <v>0</v>
      </c>
      <c r="D1681" s="62">
        <v>0</v>
      </c>
    </row>
    <row r="1682" spans="1:4">
      <c r="A1682" s="62" t="s">
        <v>1825</v>
      </c>
      <c r="B1682" s="62">
        <v>0</v>
      </c>
      <c r="C1682" s="62">
        <v>0</v>
      </c>
      <c r="D1682" s="62">
        <v>0</v>
      </c>
    </row>
    <row r="1683" spans="1:4">
      <c r="A1683" s="62" t="s">
        <v>1826</v>
      </c>
      <c r="B1683" s="62">
        <v>0</v>
      </c>
      <c r="C1683" s="62">
        <v>0</v>
      </c>
      <c r="D1683" s="62">
        <v>0</v>
      </c>
    </row>
    <row r="1684" spans="1:4">
      <c r="A1684" s="62" t="s">
        <v>1827</v>
      </c>
      <c r="B1684" s="62">
        <v>0</v>
      </c>
      <c r="C1684" s="62">
        <v>0</v>
      </c>
      <c r="D1684" s="62">
        <v>0</v>
      </c>
    </row>
    <row r="1685" spans="1:4">
      <c r="A1685" s="62" t="s">
        <v>1828</v>
      </c>
      <c r="B1685" s="62">
        <v>0</v>
      </c>
      <c r="C1685" s="62">
        <v>0</v>
      </c>
      <c r="D1685" s="62">
        <v>0</v>
      </c>
    </row>
    <row r="1686" spans="1:4">
      <c r="A1686" s="62" t="s">
        <v>1829</v>
      </c>
      <c r="B1686" s="62">
        <v>0</v>
      </c>
      <c r="C1686" s="62">
        <v>0</v>
      </c>
      <c r="D1686" s="62">
        <v>0</v>
      </c>
    </row>
    <row r="1687" spans="1:4">
      <c r="A1687" s="62" t="s">
        <v>1830</v>
      </c>
      <c r="B1687" s="62">
        <v>0</v>
      </c>
      <c r="C1687" s="62">
        <v>0</v>
      </c>
      <c r="D1687" s="62">
        <v>0</v>
      </c>
    </row>
    <row r="1688" spans="1:4">
      <c r="A1688" s="62" t="s">
        <v>1831</v>
      </c>
      <c r="B1688" s="62">
        <v>0</v>
      </c>
      <c r="C1688" s="62">
        <v>0</v>
      </c>
      <c r="D1688" s="62">
        <v>0</v>
      </c>
    </row>
    <row r="1689" spans="1:4">
      <c r="A1689" s="62" t="s">
        <v>1832</v>
      </c>
      <c r="B1689" s="62">
        <v>0</v>
      </c>
      <c r="C1689" s="62">
        <v>0</v>
      </c>
      <c r="D1689" s="62">
        <v>0</v>
      </c>
    </row>
    <row r="1690" spans="1:4">
      <c r="A1690" s="62" t="s">
        <v>1833</v>
      </c>
      <c r="B1690" s="62">
        <v>0</v>
      </c>
      <c r="C1690" s="62">
        <v>0</v>
      </c>
      <c r="D1690" s="62">
        <v>0</v>
      </c>
    </row>
    <row r="1691" spans="1:4">
      <c r="A1691" s="62" t="s">
        <v>1834</v>
      </c>
      <c r="B1691" s="62">
        <v>0</v>
      </c>
      <c r="C1691" s="62">
        <v>0</v>
      </c>
      <c r="D1691" s="62">
        <v>0</v>
      </c>
    </row>
    <row r="1692" spans="1:4">
      <c r="A1692" s="62" t="s">
        <v>1835</v>
      </c>
      <c r="B1692" s="62">
        <v>0</v>
      </c>
      <c r="C1692" s="62">
        <v>0</v>
      </c>
      <c r="D1692" s="62">
        <v>0</v>
      </c>
    </row>
    <row r="1693" spans="1:4">
      <c r="A1693" s="62" t="s">
        <v>1836</v>
      </c>
      <c r="B1693" s="62">
        <v>0</v>
      </c>
      <c r="C1693" s="62">
        <v>0</v>
      </c>
      <c r="D1693" s="62">
        <v>0</v>
      </c>
    </row>
    <row r="1694" spans="1:4">
      <c r="A1694" s="62" t="s">
        <v>1837</v>
      </c>
      <c r="B1694" s="62">
        <v>0</v>
      </c>
      <c r="C1694" s="62">
        <v>0</v>
      </c>
      <c r="D1694" s="62">
        <v>0</v>
      </c>
    </row>
    <row r="1695" spans="1:4">
      <c r="A1695" s="62" t="s">
        <v>1838</v>
      </c>
      <c r="B1695" s="62">
        <v>0</v>
      </c>
      <c r="C1695" s="62">
        <v>0</v>
      </c>
      <c r="D1695" s="62">
        <v>0</v>
      </c>
    </row>
    <row r="1696" spans="1:4">
      <c r="A1696" s="62" t="s">
        <v>1839</v>
      </c>
      <c r="B1696" s="62">
        <v>0</v>
      </c>
      <c r="C1696" s="62">
        <v>0</v>
      </c>
      <c r="D1696" s="62">
        <v>0</v>
      </c>
    </row>
    <row r="1697" spans="1:4">
      <c r="A1697" s="62" t="s">
        <v>1840</v>
      </c>
      <c r="B1697" s="62">
        <v>0</v>
      </c>
      <c r="C1697" s="62">
        <v>0</v>
      </c>
      <c r="D1697" s="62">
        <v>0</v>
      </c>
    </row>
    <row r="1698" spans="1:4">
      <c r="A1698" s="62" t="s">
        <v>1841</v>
      </c>
      <c r="B1698" s="62">
        <v>0</v>
      </c>
      <c r="C1698" s="62">
        <v>0</v>
      </c>
      <c r="D1698" s="62">
        <v>0</v>
      </c>
    </row>
    <row r="1699" spans="1:4">
      <c r="A1699" s="62" t="s">
        <v>1842</v>
      </c>
      <c r="B1699" s="62">
        <v>0</v>
      </c>
      <c r="C1699" s="62">
        <v>0</v>
      </c>
      <c r="D1699" s="62">
        <v>0</v>
      </c>
    </row>
    <row r="1700" spans="1:4">
      <c r="A1700" s="62" t="s">
        <v>1843</v>
      </c>
      <c r="B1700" s="62">
        <v>0</v>
      </c>
      <c r="C1700" s="62">
        <v>0</v>
      </c>
      <c r="D1700" s="62">
        <v>0</v>
      </c>
    </row>
    <row r="1701" spans="1:4">
      <c r="A1701" s="62" t="s">
        <v>1844</v>
      </c>
      <c r="B1701" s="62">
        <v>0</v>
      </c>
      <c r="C1701" s="62">
        <v>0</v>
      </c>
      <c r="D1701" s="62">
        <v>0</v>
      </c>
    </row>
    <row r="1702" spans="1:4">
      <c r="A1702" s="62" t="s">
        <v>1845</v>
      </c>
      <c r="B1702" s="62">
        <v>0</v>
      </c>
      <c r="C1702" s="62">
        <v>0</v>
      </c>
      <c r="D1702" s="62">
        <v>0</v>
      </c>
    </row>
    <row r="1703" spans="1:4">
      <c r="A1703" s="62" t="s">
        <v>1846</v>
      </c>
      <c r="B1703" s="62">
        <v>0</v>
      </c>
      <c r="C1703" s="62">
        <v>0</v>
      </c>
      <c r="D1703" s="62">
        <v>0</v>
      </c>
    </row>
    <row r="1704" spans="1:4">
      <c r="A1704" s="62" t="s">
        <v>1847</v>
      </c>
      <c r="B1704" s="62">
        <v>0</v>
      </c>
      <c r="C1704" s="62">
        <v>0</v>
      </c>
      <c r="D1704" s="62">
        <v>0</v>
      </c>
    </row>
    <row r="1705" spans="1:4">
      <c r="A1705" s="62">
        <v>79880140</v>
      </c>
      <c r="B1705" s="62">
        <v>0</v>
      </c>
      <c r="C1705" s="62">
        <v>0</v>
      </c>
      <c r="D1705" s="62">
        <v>0</v>
      </c>
    </row>
    <row r="1706" spans="1:4">
      <c r="A1706" s="62">
        <v>90111140</v>
      </c>
      <c r="B1706" s="62">
        <v>0</v>
      </c>
      <c r="C1706" s="62">
        <v>0</v>
      </c>
      <c r="D1706" s="62">
        <v>0</v>
      </c>
    </row>
    <row r="1707" spans="1:4">
      <c r="A1707" s="62">
        <v>90111146</v>
      </c>
      <c r="B1707" s="62">
        <v>0</v>
      </c>
      <c r="C1707" s="62">
        <v>0</v>
      </c>
      <c r="D1707" s="62">
        <v>0</v>
      </c>
    </row>
    <row r="1708" spans="1:4">
      <c r="A1708" s="62">
        <v>90111236</v>
      </c>
      <c r="B1708" s="62">
        <v>0</v>
      </c>
      <c r="C1708" s="62">
        <v>0</v>
      </c>
      <c r="D1708" s="62">
        <v>0</v>
      </c>
    </row>
    <row r="1709" spans="1:4">
      <c r="A1709" s="62">
        <v>90111246</v>
      </c>
      <c r="B1709" s="62">
        <v>0</v>
      </c>
      <c r="C1709" s="62">
        <v>0</v>
      </c>
      <c r="D1709" s="62">
        <v>0</v>
      </c>
    </row>
    <row r="1710" spans="1:4">
      <c r="A1710" s="62">
        <v>90111255</v>
      </c>
      <c r="B1710" s="62">
        <v>0</v>
      </c>
      <c r="C1710" s="62">
        <v>0</v>
      </c>
      <c r="D1710" s="62">
        <v>0</v>
      </c>
    </row>
    <row r="1711" spans="1:4">
      <c r="A1711" s="62">
        <v>90121013</v>
      </c>
      <c r="B1711" s="62">
        <v>0</v>
      </c>
      <c r="C1711" s="62">
        <v>0</v>
      </c>
      <c r="D1711" s="62">
        <v>0</v>
      </c>
    </row>
    <row r="1712" spans="1:4">
      <c r="A1712" s="62">
        <v>90121015</v>
      </c>
      <c r="B1712" s="62">
        <v>0</v>
      </c>
      <c r="C1712" s="62">
        <v>0</v>
      </c>
      <c r="D1712" s="62">
        <v>0</v>
      </c>
    </row>
    <row r="1713" spans="1:4">
      <c r="A1713" s="62">
        <v>90121613</v>
      </c>
      <c r="B1713" s="62">
        <v>0</v>
      </c>
      <c r="C1713" s="62">
        <v>0</v>
      </c>
      <c r="D1713" s="62">
        <v>0</v>
      </c>
    </row>
    <row r="1714" spans="1:4">
      <c r="A1714" s="62">
        <v>90121617</v>
      </c>
      <c r="B1714" s="62">
        <v>0</v>
      </c>
      <c r="C1714" s="62">
        <v>0</v>
      </c>
      <c r="D1714" s="62">
        <v>0</v>
      </c>
    </row>
    <row r="1715" spans="1:4">
      <c r="A1715" s="62">
        <v>90121621</v>
      </c>
      <c r="B1715" s="62">
        <v>0</v>
      </c>
      <c r="C1715" s="62">
        <v>0</v>
      </c>
      <c r="D1715" s="62">
        <v>0</v>
      </c>
    </row>
    <row r="1716" spans="1:4">
      <c r="A1716" s="62">
        <v>90121815</v>
      </c>
      <c r="B1716" s="62">
        <v>0</v>
      </c>
      <c r="C1716" s="62">
        <v>0</v>
      </c>
      <c r="D1716" s="62">
        <v>0</v>
      </c>
    </row>
    <row r="1717" spans="1:4">
      <c r="A1717" s="62">
        <v>90121817</v>
      </c>
      <c r="B1717" s="62">
        <v>0</v>
      </c>
      <c r="C1717" s="62">
        <v>0</v>
      </c>
      <c r="D1717" s="62">
        <v>0</v>
      </c>
    </row>
    <row r="1718" spans="1:4">
      <c r="A1718" s="62">
        <v>90121821</v>
      </c>
      <c r="B1718" s="62">
        <v>0</v>
      </c>
      <c r="C1718" s="62">
        <v>0</v>
      </c>
      <c r="D1718" s="62">
        <v>0</v>
      </c>
    </row>
    <row r="1719" spans="1:4">
      <c r="A1719" s="62">
        <v>90122013</v>
      </c>
      <c r="B1719" s="62">
        <v>0</v>
      </c>
      <c r="C1719" s="62">
        <v>0</v>
      </c>
      <c r="D1719" s="62">
        <v>0</v>
      </c>
    </row>
    <row r="1720" spans="1:4">
      <c r="A1720" s="62">
        <v>90122017</v>
      </c>
      <c r="B1720" s="62">
        <v>0</v>
      </c>
      <c r="C1720" s="62">
        <v>0</v>
      </c>
      <c r="D1720" s="62">
        <v>0</v>
      </c>
    </row>
    <row r="1721" spans="1:4">
      <c r="A1721" s="62">
        <v>90122021</v>
      </c>
      <c r="B1721" s="62">
        <v>0</v>
      </c>
      <c r="C1721" s="62">
        <v>0</v>
      </c>
      <c r="D1721" s="62">
        <v>0</v>
      </c>
    </row>
    <row r="1722" spans="1:4">
      <c r="A1722" s="62">
        <v>90122217</v>
      </c>
      <c r="B1722" s="62">
        <v>0</v>
      </c>
      <c r="C1722" s="62">
        <v>0</v>
      </c>
      <c r="D1722" s="62">
        <v>0</v>
      </c>
    </row>
    <row r="1723" spans="1:4">
      <c r="A1723" s="62">
        <v>90122221</v>
      </c>
      <c r="B1723" s="62">
        <v>0</v>
      </c>
      <c r="C1723" s="62">
        <v>0</v>
      </c>
      <c r="D1723" s="62">
        <v>0</v>
      </c>
    </row>
    <row r="1724" spans="1:4">
      <c r="A1724" s="62">
        <v>90122621</v>
      </c>
      <c r="B1724" s="62">
        <v>0</v>
      </c>
      <c r="C1724" s="62">
        <v>0</v>
      </c>
      <c r="D1724" s="62">
        <v>0</v>
      </c>
    </row>
    <row r="1725" spans="1:4">
      <c r="A1725" s="62">
        <v>90132021</v>
      </c>
      <c r="B1725" s="62">
        <v>0</v>
      </c>
      <c r="C1725" s="62">
        <v>0</v>
      </c>
      <c r="D1725" s="62">
        <v>0</v>
      </c>
    </row>
    <row r="1726" spans="1:4">
      <c r="A1726" s="62">
        <v>20250219041</v>
      </c>
      <c r="B1726" s="62">
        <v>0</v>
      </c>
      <c r="C1726" s="62">
        <v>0</v>
      </c>
      <c r="D1726" s="62">
        <v>0</v>
      </c>
    </row>
    <row r="1727" spans="1:4">
      <c r="A1727" s="62">
        <v>20250219042</v>
      </c>
      <c r="B1727" s="62">
        <v>0</v>
      </c>
      <c r="C1727" s="62">
        <v>0</v>
      </c>
      <c r="D1727" s="62">
        <v>0</v>
      </c>
    </row>
    <row r="1728" spans="1:4">
      <c r="A1728" s="62">
        <v>20250219043</v>
      </c>
      <c r="B1728" s="62">
        <v>0</v>
      </c>
      <c r="C1728" s="62">
        <v>0</v>
      </c>
      <c r="D1728" s="62">
        <v>0</v>
      </c>
    </row>
    <row r="1729" spans="1:4">
      <c r="A1729" s="62">
        <v>20250219044</v>
      </c>
      <c r="B1729" s="62">
        <v>0</v>
      </c>
      <c r="C1729" s="62">
        <v>0</v>
      </c>
      <c r="D1729" s="62">
        <v>0</v>
      </c>
    </row>
    <row r="1730" spans="1:4">
      <c r="A1730" s="62">
        <v>20250219045</v>
      </c>
      <c r="B1730" s="62">
        <v>0</v>
      </c>
      <c r="C1730" s="62">
        <v>0</v>
      </c>
      <c r="D1730" s="62">
        <v>0</v>
      </c>
    </row>
    <row r="1731" spans="1:4">
      <c r="A1731" s="62">
        <v>20250219046</v>
      </c>
      <c r="B1731" s="62">
        <v>0</v>
      </c>
      <c r="C1731" s="62">
        <v>0</v>
      </c>
      <c r="D1731" s="62">
        <v>0</v>
      </c>
    </row>
    <row r="1732" spans="1:4">
      <c r="A1732" s="62">
        <v>20250219047</v>
      </c>
      <c r="B1732" s="62">
        <v>0</v>
      </c>
      <c r="C1732" s="62">
        <v>0</v>
      </c>
      <c r="D1732" s="62">
        <v>0</v>
      </c>
    </row>
    <row r="1733" spans="1:4">
      <c r="A1733" s="62">
        <v>20250219048</v>
      </c>
      <c r="B1733" s="62">
        <v>0</v>
      </c>
      <c r="C1733" s="62">
        <v>0</v>
      </c>
      <c r="D1733" s="62">
        <v>0</v>
      </c>
    </row>
    <row r="1734" spans="1:4">
      <c r="A1734" s="62">
        <v>20250219049</v>
      </c>
      <c r="B1734" s="62">
        <v>0</v>
      </c>
      <c r="C1734" s="62">
        <v>0</v>
      </c>
      <c r="D1734" s="62">
        <v>0</v>
      </c>
    </row>
    <row r="1735" spans="1:4">
      <c r="A1735" s="62">
        <v>20250219050</v>
      </c>
      <c r="B1735" s="62">
        <v>0</v>
      </c>
      <c r="C1735" s="62">
        <v>0</v>
      </c>
      <c r="D1735" s="62">
        <v>0</v>
      </c>
    </row>
    <row r="1736" spans="1:4">
      <c r="A1736" s="62">
        <v>20250219051</v>
      </c>
      <c r="B1736" s="62">
        <v>0</v>
      </c>
      <c r="C1736" s="62">
        <v>0</v>
      </c>
      <c r="D1736" s="62">
        <v>0</v>
      </c>
    </row>
    <row r="1737" spans="1:4">
      <c r="A1737" s="62">
        <v>20250219052</v>
      </c>
      <c r="B1737" s="62">
        <v>0</v>
      </c>
      <c r="C1737" s="62">
        <v>0</v>
      </c>
      <c r="D1737" s="62">
        <v>0</v>
      </c>
    </row>
    <row r="1738" spans="1:4">
      <c r="A1738" s="62">
        <v>20250219053</v>
      </c>
      <c r="B1738" s="62">
        <v>0</v>
      </c>
      <c r="C1738" s="62">
        <v>0</v>
      </c>
      <c r="D1738" s="62">
        <v>0</v>
      </c>
    </row>
    <row r="1739" spans="1:4">
      <c r="A1739" s="62">
        <v>20250219054</v>
      </c>
      <c r="B1739" s="62">
        <v>0</v>
      </c>
      <c r="C1739" s="62">
        <v>0</v>
      </c>
      <c r="D1739" s="62">
        <v>0</v>
      </c>
    </row>
    <row r="1740" spans="1:4">
      <c r="A1740" s="62">
        <v>20250219055</v>
      </c>
      <c r="B1740" s="62">
        <v>0</v>
      </c>
      <c r="C1740" s="62">
        <v>0</v>
      </c>
      <c r="D1740" s="62">
        <v>0</v>
      </c>
    </row>
    <row r="1741" spans="1:4">
      <c r="A1741" s="62">
        <v>20250219056</v>
      </c>
      <c r="B1741" s="62">
        <v>0</v>
      </c>
      <c r="C1741" s="62">
        <v>0</v>
      </c>
      <c r="D1741" s="62">
        <v>0</v>
      </c>
    </row>
    <row r="1742" spans="1:4">
      <c r="A1742" s="62">
        <v>20250219057</v>
      </c>
      <c r="B1742" s="62">
        <v>0</v>
      </c>
      <c r="C1742" s="62">
        <v>0</v>
      </c>
      <c r="D1742" s="62">
        <v>0</v>
      </c>
    </row>
    <row r="1743" spans="1:4">
      <c r="A1743" s="62">
        <v>20250219058</v>
      </c>
      <c r="B1743" s="62">
        <v>0</v>
      </c>
      <c r="C1743" s="62">
        <v>0</v>
      </c>
      <c r="D1743" s="62">
        <v>0</v>
      </c>
    </row>
    <row r="1744" spans="1:4">
      <c r="A1744" s="62">
        <v>20250219059</v>
      </c>
      <c r="B1744" s="62">
        <v>0</v>
      </c>
      <c r="C1744" s="62">
        <v>0</v>
      </c>
      <c r="D1744" s="62">
        <v>0</v>
      </c>
    </row>
    <row r="1745" spans="1:4">
      <c r="A1745" s="62">
        <v>20250219060</v>
      </c>
      <c r="B1745" s="62">
        <v>0</v>
      </c>
      <c r="C1745" s="62">
        <v>0</v>
      </c>
      <c r="D1745" s="62">
        <v>0</v>
      </c>
    </row>
    <row r="1746" spans="1:4">
      <c r="A1746" s="62">
        <v>20250219061</v>
      </c>
      <c r="B1746" s="62">
        <v>0</v>
      </c>
      <c r="C1746" s="62">
        <v>0</v>
      </c>
      <c r="D1746" s="62">
        <v>0</v>
      </c>
    </row>
    <row r="1747" spans="1:4">
      <c r="A1747" s="62">
        <v>20250219062</v>
      </c>
      <c r="B1747" s="62">
        <v>0</v>
      </c>
      <c r="C1747" s="62">
        <v>0</v>
      </c>
      <c r="D1747" s="62">
        <v>0</v>
      </c>
    </row>
    <row r="1748" spans="1:4">
      <c r="A1748" s="62">
        <v>20250225041</v>
      </c>
      <c r="B1748" s="62">
        <v>0</v>
      </c>
      <c r="C1748" s="62">
        <v>0</v>
      </c>
      <c r="D1748" s="62">
        <v>0</v>
      </c>
    </row>
    <row r="1749" spans="1:4">
      <c r="A1749" s="62">
        <v>20250225042</v>
      </c>
      <c r="B1749" s="62">
        <v>0</v>
      </c>
      <c r="C1749" s="62">
        <v>0</v>
      </c>
      <c r="D1749" s="62">
        <v>0</v>
      </c>
    </row>
    <row r="1750" spans="1:4">
      <c r="A1750" s="62">
        <v>20250225043</v>
      </c>
      <c r="B1750" s="62">
        <v>0</v>
      </c>
      <c r="C1750" s="62">
        <v>0</v>
      </c>
      <c r="D1750" s="62">
        <v>0</v>
      </c>
    </row>
    <row r="1751" spans="1:4">
      <c r="A1751" s="62">
        <v>20250225044</v>
      </c>
      <c r="B1751" s="62">
        <v>0</v>
      </c>
      <c r="C1751" s="62">
        <v>0</v>
      </c>
      <c r="D1751" s="62">
        <v>0</v>
      </c>
    </row>
    <row r="1752" spans="1:4">
      <c r="A1752" s="62">
        <v>20250225045</v>
      </c>
      <c r="B1752" s="62">
        <v>0</v>
      </c>
      <c r="C1752" s="62">
        <v>0</v>
      </c>
      <c r="D1752" s="62">
        <v>0</v>
      </c>
    </row>
    <row r="1753" spans="1:4">
      <c r="A1753" s="62">
        <v>20250225046</v>
      </c>
      <c r="B1753" s="62">
        <v>0</v>
      </c>
      <c r="C1753" s="62">
        <v>0</v>
      </c>
      <c r="D1753" s="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6"/>
  <sheetViews>
    <sheetView workbookViewId="0">
      <selection activeCell="E157" sqref="E157"/>
    </sheetView>
  </sheetViews>
  <sheetFormatPr defaultRowHeight="12.75"/>
  <cols>
    <col min="1" max="1" width="21.42578125" customWidth="1"/>
    <col min="2" max="2" width="13.5703125" style="49" customWidth="1"/>
    <col min="3" max="3" width="12.5703125" style="49" customWidth="1"/>
    <col min="4" max="4" width="13.140625" style="49" customWidth="1"/>
    <col min="6" max="6" width="19.140625" bestFit="1" customWidth="1"/>
  </cols>
  <sheetData>
    <row r="1" spans="1:6">
      <c r="A1" s="67" t="s">
        <v>301</v>
      </c>
      <c r="B1" s="68" t="s">
        <v>1848</v>
      </c>
      <c r="C1" s="68" t="s">
        <v>1849</v>
      </c>
      <c r="D1" s="68" t="s">
        <v>1850</v>
      </c>
      <c r="E1" s="62"/>
      <c r="F1" s="62"/>
    </row>
    <row r="2" spans="1:6">
      <c r="A2" s="62" t="s">
        <v>168</v>
      </c>
      <c r="B2" s="71" t="s">
        <v>1851</v>
      </c>
      <c r="C2" s="71" t="s">
        <v>1852</v>
      </c>
      <c r="D2" s="71" t="s">
        <v>1853</v>
      </c>
      <c r="E2" s="64"/>
      <c r="F2" s="62"/>
    </row>
    <row r="3" spans="1:6">
      <c r="A3" s="62" t="s">
        <v>170</v>
      </c>
      <c r="B3" s="71" t="s">
        <v>1854</v>
      </c>
      <c r="C3" s="71" t="s">
        <v>1852</v>
      </c>
      <c r="D3" s="71" t="s">
        <v>1855</v>
      </c>
      <c r="E3" s="64"/>
      <c r="F3" s="62"/>
    </row>
    <row r="4" spans="1:6">
      <c r="A4" s="62" t="s">
        <v>310</v>
      </c>
      <c r="B4" s="71" t="s">
        <v>1853</v>
      </c>
      <c r="C4" s="71" t="s">
        <v>1856</v>
      </c>
      <c r="D4" s="71" t="s">
        <v>1853</v>
      </c>
      <c r="E4" s="64"/>
      <c r="F4" s="62"/>
    </row>
    <row r="5" spans="1:6">
      <c r="A5" s="62" t="s">
        <v>205</v>
      </c>
      <c r="B5" s="71" t="s">
        <v>1853</v>
      </c>
      <c r="C5" s="71" t="s">
        <v>1857</v>
      </c>
      <c r="D5" s="71" t="s">
        <v>1853</v>
      </c>
      <c r="E5" s="64"/>
      <c r="F5" s="62"/>
    </row>
    <row r="6" spans="1:6">
      <c r="A6" s="62" t="s">
        <v>156</v>
      </c>
      <c r="B6" s="71" t="s">
        <v>1858</v>
      </c>
      <c r="C6" s="71" t="s">
        <v>1853</v>
      </c>
      <c r="D6" s="71" t="s">
        <v>1853</v>
      </c>
      <c r="E6" s="63"/>
      <c r="F6" s="62"/>
    </row>
    <row r="7" spans="1:6">
      <c r="A7" s="62" t="s">
        <v>113</v>
      </c>
      <c r="B7" s="71" t="s">
        <v>1859</v>
      </c>
      <c r="C7" s="71" t="s">
        <v>1853</v>
      </c>
      <c r="D7" s="71" t="s">
        <v>1853</v>
      </c>
      <c r="E7" s="63"/>
      <c r="F7" s="62"/>
    </row>
    <row r="8" spans="1:6">
      <c r="A8" s="62" t="s">
        <v>112</v>
      </c>
      <c r="B8" s="71" t="s">
        <v>1860</v>
      </c>
      <c r="C8" s="71" t="s">
        <v>1853</v>
      </c>
      <c r="D8" s="71" t="s">
        <v>1853</v>
      </c>
      <c r="E8" s="63"/>
      <c r="F8" s="62"/>
    </row>
    <row r="9" spans="1:6">
      <c r="A9" s="62" t="s">
        <v>108</v>
      </c>
      <c r="B9" s="71" t="s">
        <v>1853</v>
      </c>
      <c r="C9" s="71" t="s">
        <v>1853</v>
      </c>
      <c r="D9" s="71" t="s">
        <v>1861</v>
      </c>
      <c r="E9" s="63"/>
      <c r="F9" s="63"/>
    </row>
    <row r="10" spans="1:6">
      <c r="A10" s="62" t="s">
        <v>115</v>
      </c>
      <c r="B10" s="71" t="s">
        <v>1853</v>
      </c>
      <c r="C10" s="71" t="s">
        <v>1853</v>
      </c>
      <c r="D10" s="71" t="s">
        <v>1862</v>
      </c>
      <c r="E10" s="63"/>
      <c r="F10" s="63"/>
    </row>
    <row r="11" spans="1:6">
      <c r="A11" s="62" t="s">
        <v>107</v>
      </c>
      <c r="B11" s="71" t="s">
        <v>1853</v>
      </c>
      <c r="C11" s="71" t="s">
        <v>1853</v>
      </c>
      <c r="D11" s="71" t="s">
        <v>1863</v>
      </c>
      <c r="E11" s="63"/>
      <c r="F11" s="63"/>
    </row>
    <row r="12" spans="1:6">
      <c r="A12" s="62" t="s">
        <v>120</v>
      </c>
      <c r="B12" s="71" t="s">
        <v>1853</v>
      </c>
      <c r="C12" s="71" t="s">
        <v>1853</v>
      </c>
      <c r="D12" s="71" t="s">
        <v>1864</v>
      </c>
      <c r="E12" s="63"/>
      <c r="F12" s="63"/>
    </row>
    <row r="13" spans="1:6">
      <c r="A13" s="62" t="s">
        <v>134</v>
      </c>
      <c r="B13" s="71" t="s">
        <v>1853</v>
      </c>
      <c r="C13" s="71" t="s">
        <v>1853</v>
      </c>
      <c r="D13" s="71" t="s">
        <v>1864</v>
      </c>
      <c r="E13" s="63"/>
      <c r="F13" s="63"/>
    </row>
    <row r="14" spans="1:6">
      <c r="A14" s="62" t="s">
        <v>136</v>
      </c>
      <c r="B14" s="71" t="s">
        <v>1853</v>
      </c>
      <c r="C14" s="71" t="s">
        <v>1853</v>
      </c>
      <c r="D14" s="71" t="s">
        <v>1864</v>
      </c>
      <c r="E14" s="63"/>
      <c r="F14" s="63"/>
    </row>
    <row r="15" spans="1:6">
      <c r="A15" s="62" t="s">
        <v>137</v>
      </c>
      <c r="B15" s="71" t="s">
        <v>1853</v>
      </c>
      <c r="C15" s="71" t="s">
        <v>1853</v>
      </c>
      <c r="D15" s="71" t="s">
        <v>1864</v>
      </c>
      <c r="E15" s="63"/>
      <c r="F15" s="63"/>
    </row>
    <row r="16" spans="1:6">
      <c r="A16" s="62" t="s">
        <v>139</v>
      </c>
      <c r="B16" s="71" t="s">
        <v>1853</v>
      </c>
      <c r="C16" s="71" t="s">
        <v>1853</v>
      </c>
      <c r="D16" s="71" t="s">
        <v>1864</v>
      </c>
      <c r="E16" s="63"/>
      <c r="F16" s="63"/>
    </row>
    <row r="17" spans="1:6">
      <c r="A17" s="62" t="s">
        <v>142</v>
      </c>
      <c r="B17" s="71" t="s">
        <v>1853</v>
      </c>
      <c r="C17" s="71" t="s">
        <v>1853</v>
      </c>
      <c r="D17" s="71" t="s">
        <v>1864</v>
      </c>
      <c r="E17" s="63"/>
      <c r="F17" s="63"/>
    </row>
    <row r="18" spans="1:6">
      <c r="A18" s="62" t="s">
        <v>144</v>
      </c>
      <c r="B18" s="71" t="s">
        <v>1853</v>
      </c>
      <c r="C18" s="71" t="s">
        <v>1853</v>
      </c>
      <c r="D18" s="71" t="s">
        <v>1864</v>
      </c>
      <c r="E18" s="63"/>
      <c r="F18" s="63"/>
    </row>
    <row r="19" spans="1:6">
      <c r="A19" s="62" t="s">
        <v>145</v>
      </c>
      <c r="B19" s="71" t="s">
        <v>1853</v>
      </c>
      <c r="C19" s="71" t="s">
        <v>1853</v>
      </c>
      <c r="D19" s="71" t="s">
        <v>1864</v>
      </c>
      <c r="E19" s="63"/>
      <c r="F19" s="63"/>
    </row>
    <row r="20" spans="1:6">
      <c r="A20" s="62" t="s">
        <v>149</v>
      </c>
      <c r="B20" s="71" t="s">
        <v>1853</v>
      </c>
      <c r="C20" s="71" t="s">
        <v>1853</v>
      </c>
      <c r="D20" s="71" t="s">
        <v>1864</v>
      </c>
      <c r="E20" s="63"/>
      <c r="F20" s="63"/>
    </row>
    <row r="21" spans="1:6">
      <c r="A21" s="62" t="s">
        <v>150</v>
      </c>
      <c r="B21" s="71" t="s">
        <v>1853</v>
      </c>
      <c r="C21" s="71" t="s">
        <v>1853</v>
      </c>
      <c r="D21" s="71" t="s">
        <v>1864</v>
      </c>
      <c r="E21" s="63"/>
      <c r="F21" s="63"/>
    </row>
    <row r="22" spans="1:6">
      <c r="A22" s="62" t="s">
        <v>151</v>
      </c>
      <c r="B22" s="71" t="s">
        <v>1853</v>
      </c>
      <c r="C22" s="71" t="s">
        <v>1853</v>
      </c>
      <c r="D22" s="71" t="s">
        <v>1864</v>
      </c>
      <c r="E22" s="63"/>
      <c r="F22" s="63"/>
    </row>
    <row r="23" spans="1:6">
      <c r="A23" s="62" t="s">
        <v>153</v>
      </c>
      <c r="B23" s="71" t="s">
        <v>1853</v>
      </c>
      <c r="C23" s="71" t="s">
        <v>1853</v>
      </c>
      <c r="D23" s="71" t="s">
        <v>1864</v>
      </c>
      <c r="E23" s="63"/>
      <c r="F23" s="63"/>
    </row>
    <row r="24" spans="1:6">
      <c r="A24" s="62" t="s">
        <v>110</v>
      </c>
      <c r="B24" s="71" t="s">
        <v>1853</v>
      </c>
      <c r="C24" s="71" t="s">
        <v>1853</v>
      </c>
      <c r="D24" s="71" t="s">
        <v>1865</v>
      </c>
      <c r="E24" s="63"/>
      <c r="F24" s="63"/>
    </row>
    <row r="25" spans="1:6">
      <c r="A25" s="62" t="s">
        <v>111</v>
      </c>
      <c r="B25" s="71" t="s">
        <v>1853</v>
      </c>
      <c r="C25" s="71" t="s">
        <v>1853</v>
      </c>
      <c r="D25" s="71" t="s">
        <v>1865</v>
      </c>
      <c r="E25" s="63"/>
      <c r="F25" s="63"/>
    </row>
    <row r="26" spans="1:6">
      <c r="A26" s="62" t="s">
        <v>128</v>
      </c>
      <c r="B26" s="71" t="s">
        <v>1853</v>
      </c>
      <c r="C26" s="71" t="s">
        <v>1853</v>
      </c>
      <c r="D26" s="71" t="s">
        <v>1866</v>
      </c>
      <c r="E26" s="63"/>
      <c r="F26" s="63"/>
    </row>
    <row r="27" spans="1:6">
      <c r="A27" s="62" t="s">
        <v>129</v>
      </c>
      <c r="B27" s="71" t="s">
        <v>1853</v>
      </c>
      <c r="C27" s="71" t="s">
        <v>1853</v>
      </c>
      <c r="D27" s="71" t="s">
        <v>1866</v>
      </c>
      <c r="E27" s="63"/>
      <c r="F27" s="63"/>
    </row>
    <row r="28" spans="1:6">
      <c r="A28" s="62" t="s">
        <v>130</v>
      </c>
      <c r="B28" s="71" t="s">
        <v>1853</v>
      </c>
      <c r="C28" s="71" t="s">
        <v>1853</v>
      </c>
      <c r="D28" s="71" t="s">
        <v>1866</v>
      </c>
      <c r="E28" s="63"/>
      <c r="F28" s="63"/>
    </row>
    <row r="29" spans="1:6">
      <c r="A29" s="62" t="s">
        <v>131</v>
      </c>
      <c r="B29" s="71" t="s">
        <v>1853</v>
      </c>
      <c r="C29" s="71" t="s">
        <v>1853</v>
      </c>
      <c r="D29" s="71" t="s">
        <v>1866</v>
      </c>
      <c r="E29" s="63"/>
      <c r="F29" s="63"/>
    </row>
    <row r="30" spans="1:6">
      <c r="A30" s="62" t="s">
        <v>132</v>
      </c>
      <c r="B30" s="71" t="s">
        <v>1853</v>
      </c>
      <c r="C30" s="71" t="s">
        <v>1853</v>
      </c>
      <c r="D30" s="71" t="s">
        <v>1866</v>
      </c>
      <c r="E30" s="63"/>
      <c r="F30" s="63"/>
    </row>
    <row r="31" spans="1:6">
      <c r="A31" s="62" t="s">
        <v>133</v>
      </c>
      <c r="B31" s="71" t="s">
        <v>1853</v>
      </c>
      <c r="C31" s="71" t="s">
        <v>1853</v>
      </c>
      <c r="D31" s="71" t="s">
        <v>1866</v>
      </c>
      <c r="E31" s="63"/>
      <c r="F31" s="63"/>
    </row>
    <row r="32" spans="1:6">
      <c r="A32" s="62" t="s">
        <v>241</v>
      </c>
      <c r="B32" s="71" t="s">
        <v>1853</v>
      </c>
      <c r="C32" s="71" t="s">
        <v>1853</v>
      </c>
      <c r="D32" s="71" t="s">
        <v>1867</v>
      </c>
      <c r="E32" s="63"/>
      <c r="F32" s="63"/>
    </row>
    <row r="33" spans="1:6">
      <c r="A33" s="62" t="s">
        <v>242</v>
      </c>
      <c r="B33" s="71" t="s">
        <v>1853</v>
      </c>
      <c r="C33" s="71" t="s">
        <v>1853</v>
      </c>
      <c r="D33" s="71" t="s">
        <v>1867</v>
      </c>
      <c r="E33" s="63"/>
      <c r="F33" s="63"/>
    </row>
    <row r="34" spans="1:6">
      <c r="A34" s="62" t="s">
        <v>243</v>
      </c>
      <c r="B34" s="71" t="s">
        <v>1853</v>
      </c>
      <c r="C34" s="71" t="s">
        <v>1853</v>
      </c>
      <c r="D34" s="71" t="s">
        <v>1867</v>
      </c>
      <c r="E34" s="63"/>
      <c r="F34" s="63"/>
    </row>
    <row r="35" spans="1:6">
      <c r="A35" s="62" t="s">
        <v>244</v>
      </c>
      <c r="B35" s="71" t="s">
        <v>1853</v>
      </c>
      <c r="C35" s="71" t="s">
        <v>1853</v>
      </c>
      <c r="D35" s="71" t="s">
        <v>1867</v>
      </c>
      <c r="E35" s="63"/>
      <c r="F35" s="63"/>
    </row>
    <row r="36" spans="1:6">
      <c r="A36" s="62" t="s">
        <v>245</v>
      </c>
      <c r="B36" s="71" t="s">
        <v>1853</v>
      </c>
      <c r="C36" s="71" t="s">
        <v>1853</v>
      </c>
      <c r="D36" s="71" t="s">
        <v>1868</v>
      </c>
      <c r="E36" s="63"/>
      <c r="F36" s="63"/>
    </row>
    <row r="37" spans="1:6">
      <c r="A37" s="62" t="s">
        <v>246</v>
      </c>
      <c r="B37" s="71" t="s">
        <v>1853</v>
      </c>
      <c r="C37" s="71" t="s">
        <v>1853</v>
      </c>
      <c r="D37" s="71" t="s">
        <v>1868</v>
      </c>
      <c r="E37" s="63"/>
      <c r="F37" s="63"/>
    </row>
    <row r="38" spans="1:6">
      <c r="A38" s="62" t="s">
        <v>247</v>
      </c>
      <c r="B38" s="71" t="s">
        <v>1853</v>
      </c>
      <c r="C38" s="71" t="s">
        <v>1853</v>
      </c>
      <c r="D38" s="71" t="s">
        <v>1868</v>
      </c>
      <c r="E38" s="63"/>
      <c r="F38" s="63"/>
    </row>
    <row r="39" spans="1:6">
      <c r="A39" s="62" t="s">
        <v>248</v>
      </c>
      <c r="B39" s="71" t="s">
        <v>1853</v>
      </c>
      <c r="C39" s="71" t="s">
        <v>1853</v>
      </c>
      <c r="D39" s="71" t="s">
        <v>1868</v>
      </c>
      <c r="E39" s="63"/>
      <c r="F39" s="63"/>
    </row>
    <row r="40" spans="1:6">
      <c r="A40" s="62" t="s">
        <v>148</v>
      </c>
      <c r="B40" s="71" t="s">
        <v>1853</v>
      </c>
      <c r="C40" s="71" t="s">
        <v>1853</v>
      </c>
      <c r="D40" s="71" t="s">
        <v>1869</v>
      </c>
      <c r="E40" s="63"/>
      <c r="F40" s="63"/>
    </row>
    <row r="41" spans="1:6">
      <c r="A41" s="62" t="s">
        <v>152</v>
      </c>
      <c r="B41" s="71" t="s">
        <v>1853</v>
      </c>
      <c r="C41" s="71" t="s">
        <v>1853</v>
      </c>
      <c r="D41" s="71" t="s">
        <v>1869</v>
      </c>
      <c r="E41" s="63"/>
      <c r="F41" s="63"/>
    </row>
    <row r="42" spans="1:6">
      <c r="A42" s="62" t="s">
        <v>157</v>
      </c>
      <c r="B42" s="71" t="s">
        <v>1853</v>
      </c>
      <c r="C42" s="71" t="s">
        <v>1870</v>
      </c>
      <c r="D42" s="71" t="s">
        <v>1871</v>
      </c>
      <c r="E42" s="64"/>
      <c r="F42" s="63"/>
    </row>
    <row r="43" spans="1:6">
      <c r="A43" s="62" t="s">
        <v>158</v>
      </c>
      <c r="B43" s="71" t="s">
        <v>1853</v>
      </c>
      <c r="C43" s="71" t="s">
        <v>1870</v>
      </c>
      <c r="D43" s="71" t="s">
        <v>1871</v>
      </c>
      <c r="E43" s="64"/>
      <c r="F43" s="63"/>
    </row>
    <row r="44" spans="1:6">
      <c r="A44" s="62" t="s">
        <v>119</v>
      </c>
      <c r="B44" s="71" t="s">
        <v>1853</v>
      </c>
      <c r="C44" s="71" t="s">
        <v>1853</v>
      </c>
      <c r="D44" s="71" t="s">
        <v>1872</v>
      </c>
      <c r="E44" s="63"/>
      <c r="F44" s="63"/>
    </row>
    <row r="45" spans="1:6">
      <c r="A45" s="62" t="s">
        <v>121</v>
      </c>
      <c r="B45" s="71" t="s">
        <v>1853</v>
      </c>
      <c r="C45" s="71" t="s">
        <v>1853</v>
      </c>
      <c r="D45" s="71" t="s">
        <v>1872</v>
      </c>
      <c r="E45" s="63"/>
      <c r="F45" s="63"/>
    </row>
    <row r="46" spans="1:6">
      <c r="A46" s="62" t="s">
        <v>122</v>
      </c>
      <c r="B46" s="71" t="s">
        <v>1853</v>
      </c>
      <c r="C46" s="71" t="s">
        <v>1853</v>
      </c>
      <c r="D46" s="71" t="s">
        <v>1872</v>
      </c>
      <c r="E46" s="63"/>
      <c r="F46" s="63"/>
    </row>
    <row r="47" spans="1:6">
      <c r="A47" s="62" t="s">
        <v>123</v>
      </c>
      <c r="B47" s="71" t="s">
        <v>1853</v>
      </c>
      <c r="C47" s="71" t="s">
        <v>1853</v>
      </c>
      <c r="D47" s="71" t="s">
        <v>1872</v>
      </c>
      <c r="E47" s="63"/>
      <c r="F47" s="63"/>
    </row>
    <row r="48" spans="1:6">
      <c r="A48" s="62" t="s">
        <v>124</v>
      </c>
      <c r="B48" s="71" t="s">
        <v>1853</v>
      </c>
      <c r="C48" s="71" t="s">
        <v>1853</v>
      </c>
      <c r="D48" s="71" t="s">
        <v>1872</v>
      </c>
      <c r="E48" s="63"/>
      <c r="F48" s="63"/>
    </row>
    <row r="49" spans="1:6">
      <c r="A49" s="62" t="s">
        <v>127</v>
      </c>
      <c r="B49" s="71" t="s">
        <v>1853</v>
      </c>
      <c r="C49" s="71" t="s">
        <v>1853</v>
      </c>
      <c r="D49" s="71" t="s">
        <v>1872</v>
      </c>
      <c r="E49" s="63"/>
      <c r="F49" s="63"/>
    </row>
    <row r="50" spans="1:6">
      <c r="A50" s="62" t="s">
        <v>138</v>
      </c>
      <c r="B50" s="71" t="s">
        <v>1853</v>
      </c>
      <c r="C50" s="71" t="s">
        <v>1853</v>
      </c>
      <c r="D50" s="71" t="s">
        <v>1872</v>
      </c>
      <c r="E50" s="63"/>
      <c r="F50" s="63"/>
    </row>
    <row r="51" spans="1:6">
      <c r="A51" s="62" t="s">
        <v>140</v>
      </c>
      <c r="B51" s="71" t="s">
        <v>1853</v>
      </c>
      <c r="C51" s="71" t="s">
        <v>1853</v>
      </c>
      <c r="D51" s="71" t="s">
        <v>1872</v>
      </c>
      <c r="E51" s="63"/>
      <c r="F51" s="63"/>
    </row>
    <row r="52" spans="1:6">
      <c r="A52" s="62" t="s">
        <v>109</v>
      </c>
      <c r="B52" s="71" t="s">
        <v>1853</v>
      </c>
      <c r="C52" s="71" t="s">
        <v>1853</v>
      </c>
      <c r="D52" s="71" t="s">
        <v>1873</v>
      </c>
      <c r="E52" s="63"/>
      <c r="F52" s="63"/>
    </row>
    <row r="53" spans="1:6">
      <c r="A53" s="62" t="s">
        <v>221</v>
      </c>
      <c r="B53" s="71" t="s">
        <v>1853</v>
      </c>
      <c r="C53" s="71" t="s">
        <v>1853</v>
      </c>
      <c r="D53" s="71" t="s">
        <v>1874</v>
      </c>
      <c r="E53" s="63"/>
      <c r="F53" s="63"/>
    </row>
    <row r="54" spans="1:6">
      <c r="A54" s="62" t="s">
        <v>211</v>
      </c>
      <c r="B54" s="71" t="s">
        <v>1853</v>
      </c>
      <c r="C54" s="71" t="s">
        <v>1853</v>
      </c>
      <c r="D54" s="71" t="s">
        <v>1875</v>
      </c>
      <c r="E54" s="63"/>
      <c r="F54" s="63"/>
    </row>
    <row r="55" spans="1:6">
      <c r="A55" s="62" t="s">
        <v>216</v>
      </c>
      <c r="B55" s="71" t="s">
        <v>1853</v>
      </c>
      <c r="C55" s="71" t="s">
        <v>1853</v>
      </c>
      <c r="D55" s="71" t="s">
        <v>1875</v>
      </c>
      <c r="E55" s="63"/>
      <c r="F55" s="63"/>
    </row>
    <row r="56" spans="1:6">
      <c r="A56" s="62" t="s">
        <v>146</v>
      </c>
      <c r="B56" s="71" t="s">
        <v>1853</v>
      </c>
      <c r="C56" s="71" t="s">
        <v>1853</v>
      </c>
      <c r="D56" s="71" t="s">
        <v>1876</v>
      </c>
      <c r="E56" s="63"/>
      <c r="F56" s="63"/>
    </row>
    <row r="57" spans="1:6">
      <c r="A57" s="62" t="s">
        <v>175</v>
      </c>
      <c r="B57" s="71" t="s">
        <v>1853</v>
      </c>
      <c r="C57" s="71" t="s">
        <v>1853</v>
      </c>
      <c r="D57" s="71" t="s">
        <v>1877</v>
      </c>
      <c r="E57" s="63"/>
      <c r="F57" s="63"/>
    </row>
    <row r="58" spans="1:6">
      <c r="A58" s="62" t="s">
        <v>135</v>
      </c>
      <c r="B58" s="71" t="s">
        <v>1853</v>
      </c>
      <c r="C58" s="71" t="s">
        <v>1853</v>
      </c>
      <c r="D58" s="71" t="s">
        <v>1878</v>
      </c>
      <c r="E58" s="63"/>
      <c r="F58" s="63"/>
    </row>
    <row r="59" spans="1:6">
      <c r="A59" s="62" t="s">
        <v>141</v>
      </c>
      <c r="B59" s="71" t="s">
        <v>1853</v>
      </c>
      <c r="C59" s="71" t="s">
        <v>1853</v>
      </c>
      <c r="D59" s="71" t="s">
        <v>1878</v>
      </c>
      <c r="E59" s="63"/>
      <c r="F59" s="63"/>
    </row>
    <row r="60" spans="1:6">
      <c r="A60" s="62" t="s">
        <v>106</v>
      </c>
      <c r="B60" s="71" t="s">
        <v>1853</v>
      </c>
      <c r="C60" s="71" t="s">
        <v>1853</v>
      </c>
      <c r="D60" s="71" t="s">
        <v>1879</v>
      </c>
      <c r="E60" s="63"/>
      <c r="F60" s="63"/>
    </row>
    <row r="61" spans="1:6">
      <c r="A61" s="62" t="s">
        <v>176</v>
      </c>
      <c r="B61" s="71" t="s">
        <v>1853</v>
      </c>
      <c r="C61" s="71" t="s">
        <v>1853</v>
      </c>
      <c r="D61" s="71" t="s">
        <v>1880</v>
      </c>
      <c r="E61" s="63"/>
      <c r="F61" s="63"/>
    </row>
    <row r="62" spans="1:6">
      <c r="A62" s="62" t="s">
        <v>147</v>
      </c>
      <c r="B62" s="71" t="s">
        <v>1853</v>
      </c>
      <c r="C62" s="71" t="s">
        <v>1853</v>
      </c>
      <c r="D62" s="71" t="s">
        <v>1881</v>
      </c>
      <c r="E62" s="63"/>
      <c r="F62" s="63"/>
    </row>
    <row r="63" spans="1:6">
      <c r="A63" s="62" t="s">
        <v>206</v>
      </c>
      <c r="B63" s="71" t="s">
        <v>1853</v>
      </c>
      <c r="C63" s="71" t="s">
        <v>1853</v>
      </c>
      <c r="D63" s="71" t="s">
        <v>1882</v>
      </c>
      <c r="E63" s="63"/>
      <c r="F63" s="63"/>
    </row>
    <row r="64" spans="1:6">
      <c r="A64" s="62" t="s">
        <v>207</v>
      </c>
      <c r="B64" s="71" t="s">
        <v>1853</v>
      </c>
      <c r="C64" s="71" t="s">
        <v>1853</v>
      </c>
      <c r="D64" s="71" t="s">
        <v>1882</v>
      </c>
      <c r="E64" s="63"/>
      <c r="F64" s="63"/>
    </row>
    <row r="65" spans="1:6">
      <c r="A65" s="62" t="s">
        <v>227</v>
      </c>
      <c r="B65" s="71" t="s">
        <v>1853</v>
      </c>
      <c r="C65" s="71" t="s">
        <v>1853</v>
      </c>
      <c r="D65" s="71" t="s">
        <v>1883</v>
      </c>
      <c r="E65" s="63"/>
      <c r="F65" s="63"/>
    </row>
    <row r="66" spans="1:6">
      <c r="A66" s="62" t="s">
        <v>230</v>
      </c>
      <c r="B66" s="71" t="s">
        <v>1853</v>
      </c>
      <c r="C66" s="71" t="s">
        <v>1853</v>
      </c>
      <c r="D66" s="71" t="s">
        <v>1884</v>
      </c>
      <c r="E66" s="63"/>
      <c r="F66" s="63"/>
    </row>
    <row r="67" spans="1:6">
      <c r="A67" s="62" t="s">
        <v>250</v>
      </c>
      <c r="B67" s="71" t="s">
        <v>1853</v>
      </c>
      <c r="C67" s="71" t="s">
        <v>1853</v>
      </c>
      <c r="D67" s="71" t="s">
        <v>1885</v>
      </c>
      <c r="E67" s="63"/>
      <c r="F67" s="63"/>
    </row>
    <row r="68" spans="1:6">
      <c r="A68" s="62" t="s">
        <v>117</v>
      </c>
      <c r="B68" s="71" t="s">
        <v>1853</v>
      </c>
      <c r="C68" s="71" t="s">
        <v>1853</v>
      </c>
      <c r="D68" s="71" t="s">
        <v>1886</v>
      </c>
      <c r="E68" s="63"/>
      <c r="F68" s="63"/>
    </row>
    <row r="69" spans="1:6">
      <c r="A69" s="62" t="s">
        <v>143</v>
      </c>
      <c r="B69" s="71" t="s">
        <v>1853</v>
      </c>
      <c r="C69" s="71" t="s">
        <v>1853</v>
      </c>
      <c r="D69" s="71" t="s">
        <v>1886</v>
      </c>
      <c r="E69" s="63"/>
      <c r="F69" s="63"/>
    </row>
    <row r="70" spans="1:6">
      <c r="A70" s="62" t="s">
        <v>125</v>
      </c>
      <c r="B70" s="71" t="s">
        <v>1853</v>
      </c>
      <c r="C70" s="71" t="s">
        <v>1853</v>
      </c>
      <c r="D70" s="71" t="s">
        <v>1887</v>
      </c>
      <c r="E70" s="63"/>
      <c r="F70" s="63"/>
    </row>
    <row r="71" spans="1:6">
      <c r="A71" s="62" t="s">
        <v>184</v>
      </c>
      <c r="B71" s="71" t="s">
        <v>1853</v>
      </c>
      <c r="C71" s="71" t="s">
        <v>1853</v>
      </c>
      <c r="D71" s="71" t="s">
        <v>1888</v>
      </c>
      <c r="E71" s="63"/>
      <c r="F71" s="63"/>
    </row>
    <row r="72" spans="1:6">
      <c r="A72" s="62" t="s">
        <v>185</v>
      </c>
      <c r="B72" s="71" t="s">
        <v>1853</v>
      </c>
      <c r="C72" s="71" t="s">
        <v>1853</v>
      </c>
      <c r="D72" s="71" t="s">
        <v>1888</v>
      </c>
      <c r="E72" s="63"/>
      <c r="F72" s="63"/>
    </row>
    <row r="73" spans="1:6">
      <c r="A73" s="62" t="s">
        <v>163</v>
      </c>
      <c r="B73" s="71" t="s">
        <v>1853</v>
      </c>
      <c r="C73" s="71" t="s">
        <v>1853</v>
      </c>
      <c r="D73" s="71" t="s">
        <v>1889</v>
      </c>
      <c r="E73" s="63"/>
      <c r="F73" s="63"/>
    </row>
    <row r="74" spans="1:6">
      <c r="A74" s="62" t="s">
        <v>116</v>
      </c>
      <c r="B74" s="71" t="s">
        <v>1853</v>
      </c>
      <c r="C74" s="71" t="s">
        <v>1853</v>
      </c>
      <c r="D74" s="71" t="s">
        <v>1890</v>
      </c>
      <c r="E74" s="63"/>
      <c r="F74" s="63"/>
    </row>
    <row r="75" spans="1:6">
      <c r="A75" s="62" t="s">
        <v>118</v>
      </c>
      <c r="B75" s="71" t="s">
        <v>1853</v>
      </c>
      <c r="C75" s="71" t="s">
        <v>1853</v>
      </c>
      <c r="D75" s="71" t="s">
        <v>1891</v>
      </c>
      <c r="E75" s="63"/>
      <c r="F75" s="63"/>
    </row>
    <row r="76" spans="1:6">
      <c r="A76" s="62" t="s">
        <v>228</v>
      </c>
      <c r="B76" s="71" t="s">
        <v>1853</v>
      </c>
      <c r="C76" s="71" t="s">
        <v>1853</v>
      </c>
      <c r="D76" s="71" t="s">
        <v>1892</v>
      </c>
      <c r="E76" s="63"/>
      <c r="F76" s="63"/>
    </row>
    <row r="77" spans="1:6">
      <c r="A77" s="62" t="s">
        <v>126</v>
      </c>
      <c r="B77" s="71" t="s">
        <v>1853</v>
      </c>
      <c r="C77" s="71" t="s">
        <v>1853</v>
      </c>
      <c r="D77" s="71" t="s">
        <v>1893</v>
      </c>
      <c r="E77" s="63"/>
      <c r="F77" s="63"/>
    </row>
    <row r="78" spans="1:6">
      <c r="A78" s="62" t="s">
        <v>256</v>
      </c>
      <c r="B78" s="71" t="s">
        <v>1853</v>
      </c>
      <c r="C78" s="71" t="s">
        <v>1853</v>
      </c>
      <c r="D78" s="71" t="s">
        <v>1894</v>
      </c>
      <c r="E78" s="63"/>
      <c r="F78" s="63"/>
    </row>
    <row r="79" spans="1:6">
      <c r="A79" s="62" t="s">
        <v>191</v>
      </c>
      <c r="B79" s="71" t="s">
        <v>1853</v>
      </c>
      <c r="C79" s="71" t="s">
        <v>1853</v>
      </c>
      <c r="D79" s="71" t="s">
        <v>1895</v>
      </c>
      <c r="E79" s="63"/>
      <c r="F79" s="63"/>
    </row>
    <row r="80" spans="1:6">
      <c r="A80" s="62" t="s">
        <v>192</v>
      </c>
      <c r="B80" s="71" t="s">
        <v>1853</v>
      </c>
      <c r="C80" s="71" t="s">
        <v>1853</v>
      </c>
      <c r="D80" s="71" t="s">
        <v>1895</v>
      </c>
      <c r="E80" s="63"/>
      <c r="F80" s="63"/>
    </row>
    <row r="81" spans="1:6">
      <c r="A81" s="62" t="s">
        <v>195</v>
      </c>
      <c r="B81" s="71" t="s">
        <v>1853</v>
      </c>
      <c r="C81" s="71" t="s">
        <v>1853</v>
      </c>
      <c r="D81" s="71" t="s">
        <v>1895</v>
      </c>
      <c r="E81" s="63"/>
      <c r="F81" s="63"/>
    </row>
    <row r="82" spans="1:6">
      <c r="A82" s="62" t="s">
        <v>198</v>
      </c>
      <c r="B82" s="71" t="s">
        <v>1853</v>
      </c>
      <c r="C82" s="71" t="s">
        <v>1853</v>
      </c>
      <c r="D82" s="71" t="s">
        <v>1895</v>
      </c>
      <c r="E82" s="63"/>
      <c r="F82" s="63"/>
    </row>
    <row r="83" spans="1:6">
      <c r="A83" s="62" t="s">
        <v>201</v>
      </c>
      <c r="B83" s="71" t="s">
        <v>1853</v>
      </c>
      <c r="C83" s="71" t="s">
        <v>1853</v>
      </c>
      <c r="D83" s="71" t="s">
        <v>1895</v>
      </c>
      <c r="E83" s="63"/>
      <c r="F83" s="63"/>
    </row>
    <row r="84" spans="1:6">
      <c r="A84" s="62" t="s">
        <v>203</v>
      </c>
      <c r="B84" s="71" t="s">
        <v>1853</v>
      </c>
      <c r="C84" s="71" t="s">
        <v>1853</v>
      </c>
      <c r="D84" s="71" t="s">
        <v>1895</v>
      </c>
      <c r="E84" s="63"/>
      <c r="F84" s="63"/>
    </row>
    <row r="85" spans="1:6">
      <c r="A85" s="62" t="s">
        <v>224</v>
      </c>
      <c r="B85" s="71" t="s">
        <v>1853</v>
      </c>
      <c r="C85" s="71" t="s">
        <v>1853</v>
      </c>
      <c r="D85" s="71" t="s">
        <v>1896</v>
      </c>
      <c r="E85" s="63"/>
      <c r="F85" s="63"/>
    </row>
    <row r="86" spans="1:6">
      <c r="A86" s="62" t="s">
        <v>181</v>
      </c>
      <c r="B86" s="71" t="s">
        <v>1853</v>
      </c>
      <c r="C86" s="71" t="s">
        <v>1853</v>
      </c>
      <c r="D86" s="71" t="s">
        <v>1897</v>
      </c>
      <c r="E86" s="63"/>
      <c r="F86" s="63"/>
    </row>
    <row r="87" spans="1:6">
      <c r="A87" s="62" t="s">
        <v>226</v>
      </c>
      <c r="B87" s="71" t="s">
        <v>1853</v>
      </c>
      <c r="C87" s="71" t="s">
        <v>1853</v>
      </c>
      <c r="D87" s="71" t="s">
        <v>1898</v>
      </c>
      <c r="E87" s="63"/>
      <c r="F87" s="63"/>
    </row>
    <row r="88" spans="1:6">
      <c r="A88" s="62" t="s">
        <v>229</v>
      </c>
      <c r="B88" s="71" t="s">
        <v>1853</v>
      </c>
      <c r="C88" s="71" t="s">
        <v>1853</v>
      </c>
      <c r="D88" s="71" t="s">
        <v>1898</v>
      </c>
      <c r="E88" s="63"/>
      <c r="F88" s="63"/>
    </row>
    <row r="89" spans="1:6">
      <c r="A89" s="62" t="s">
        <v>239</v>
      </c>
      <c r="B89" s="71" t="s">
        <v>1853</v>
      </c>
      <c r="C89" s="71" t="s">
        <v>1853</v>
      </c>
      <c r="D89" s="71" t="s">
        <v>1899</v>
      </c>
      <c r="E89" s="63"/>
      <c r="F89" s="63"/>
    </row>
    <row r="90" spans="1:6">
      <c r="A90" s="62" t="s">
        <v>240</v>
      </c>
      <c r="B90" s="71" t="s">
        <v>1853</v>
      </c>
      <c r="C90" s="71" t="s">
        <v>1853</v>
      </c>
      <c r="D90" s="71" t="s">
        <v>1899</v>
      </c>
      <c r="E90" s="63"/>
      <c r="F90" s="63"/>
    </row>
    <row r="91" spans="1:6">
      <c r="A91" s="62" t="s">
        <v>309</v>
      </c>
      <c r="B91" s="71" t="s">
        <v>1853</v>
      </c>
      <c r="C91" s="71" t="s">
        <v>1853</v>
      </c>
      <c r="D91" s="71" t="s">
        <v>1899</v>
      </c>
      <c r="E91" s="63"/>
      <c r="F91" s="63"/>
    </row>
    <row r="92" spans="1:6">
      <c r="A92" s="62" t="s">
        <v>114</v>
      </c>
      <c r="B92" s="71" t="s">
        <v>1853</v>
      </c>
      <c r="C92" s="71" t="s">
        <v>1853</v>
      </c>
      <c r="D92" s="71" t="s">
        <v>1900</v>
      </c>
      <c r="E92" s="63"/>
      <c r="F92" s="63"/>
    </row>
    <row r="93" spans="1:6">
      <c r="A93" s="62" t="s">
        <v>190</v>
      </c>
      <c r="B93" s="71" t="s">
        <v>1853</v>
      </c>
      <c r="C93" s="71" t="s">
        <v>1853</v>
      </c>
      <c r="D93" s="71" t="s">
        <v>1900</v>
      </c>
      <c r="E93" s="63"/>
      <c r="F93" s="63"/>
    </row>
    <row r="94" spans="1:6">
      <c r="A94" s="62" t="s">
        <v>171</v>
      </c>
      <c r="B94" s="71" t="s">
        <v>1853</v>
      </c>
      <c r="C94" s="71" t="s">
        <v>1853</v>
      </c>
      <c r="D94" s="71" t="s">
        <v>1901</v>
      </c>
      <c r="E94" s="63"/>
      <c r="F94" s="63"/>
    </row>
    <row r="95" spans="1:6">
      <c r="A95" s="62" t="s">
        <v>251</v>
      </c>
      <c r="B95" s="71" t="s">
        <v>1853</v>
      </c>
      <c r="C95" s="71" t="s">
        <v>1853</v>
      </c>
      <c r="D95" s="71" t="s">
        <v>1902</v>
      </c>
      <c r="E95" s="63"/>
      <c r="F95" s="63"/>
    </row>
    <row r="96" spans="1:6">
      <c r="A96" s="62" t="s">
        <v>208</v>
      </c>
      <c r="B96" s="71" t="s">
        <v>1853</v>
      </c>
      <c r="C96" s="71" t="s">
        <v>1853</v>
      </c>
      <c r="D96" s="71" t="s">
        <v>1903</v>
      </c>
      <c r="E96" s="63"/>
      <c r="F96" s="63"/>
    </row>
    <row r="97" spans="1:6">
      <c r="A97" s="62" t="s">
        <v>210</v>
      </c>
      <c r="B97" s="71" t="s">
        <v>1853</v>
      </c>
      <c r="C97" s="71" t="s">
        <v>1853</v>
      </c>
      <c r="D97" s="71" t="s">
        <v>1903</v>
      </c>
      <c r="E97" s="63"/>
      <c r="F97" s="63"/>
    </row>
    <row r="98" spans="1:6">
      <c r="A98" s="62" t="s">
        <v>180</v>
      </c>
      <c r="B98" s="71" t="s">
        <v>1853</v>
      </c>
      <c r="C98" s="71" t="s">
        <v>1853</v>
      </c>
      <c r="D98" s="71" t="s">
        <v>1904</v>
      </c>
      <c r="E98" s="63"/>
      <c r="F98" s="63"/>
    </row>
    <row r="99" spans="1:6">
      <c r="A99" s="62" t="s">
        <v>172</v>
      </c>
      <c r="B99" s="71" t="s">
        <v>1853</v>
      </c>
      <c r="C99" s="71" t="s">
        <v>1853</v>
      </c>
      <c r="D99" s="71" t="s">
        <v>1905</v>
      </c>
      <c r="E99" s="63"/>
      <c r="F99" s="63"/>
    </row>
    <row r="100" spans="1:6">
      <c r="A100" s="62" t="s">
        <v>193</v>
      </c>
      <c r="B100" s="71" t="s">
        <v>1853</v>
      </c>
      <c r="C100" s="71" t="s">
        <v>1853</v>
      </c>
      <c r="D100" s="71" t="s">
        <v>1906</v>
      </c>
      <c r="E100" s="63"/>
      <c r="F100" s="63"/>
    </row>
    <row r="101" spans="1:6">
      <c r="A101" s="62" t="s">
        <v>252</v>
      </c>
      <c r="B101" s="71" t="s">
        <v>1853</v>
      </c>
      <c r="C101" s="71" t="s">
        <v>1853</v>
      </c>
      <c r="D101" s="71" t="s">
        <v>1907</v>
      </c>
      <c r="E101" s="63"/>
      <c r="F101" s="63"/>
    </row>
    <row r="102" spans="1:6">
      <c r="A102" s="62" t="s">
        <v>202</v>
      </c>
      <c r="B102" s="71" t="s">
        <v>1853</v>
      </c>
      <c r="C102" s="71" t="s">
        <v>1853</v>
      </c>
      <c r="D102" s="71" t="s">
        <v>1908</v>
      </c>
      <c r="E102" s="63"/>
      <c r="F102" s="63"/>
    </row>
    <row r="103" spans="1:6">
      <c r="A103" s="62" t="s">
        <v>238</v>
      </c>
      <c r="B103" s="71" t="s">
        <v>1853</v>
      </c>
      <c r="C103" s="71" t="s">
        <v>1853</v>
      </c>
      <c r="D103" s="71" t="s">
        <v>1909</v>
      </c>
      <c r="E103" s="63"/>
      <c r="F103" s="63"/>
    </row>
    <row r="104" spans="1:6">
      <c r="A104" s="62" t="s">
        <v>199</v>
      </c>
      <c r="B104" s="71" t="s">
        <v>1853</v>
      </c>
      <c r="C104" s="71" t="s">
        <v>1853</v>
      </c>
      <c r="D104" s="71" t="s">
        <v>1910</v>
      </c>
      <c r="E104" s="63"/>
      <c r="F104" s="63"/>
    </row>
    <row r="105" spans="1:6">
      <c r="A105" s="62" t="s">
        <v>204</v>
      </c>
      <c r="B105" s="71" t="s">
        <v>1853</v>
      </c>
      <c r="C105" s="71" t="s">
        <v>1853</v>
      </c>
      <c r="D105" s="71" t="s">
        <v>1910</v>
      </c>
      <c r="E105" s="63"/>
      <c r="F105" s="63"/>
    </row>
    <row r="106" spans="1:6">
      <c r="A106" s="62" t="s">
        <v>253</v>
      </c>
      <c r="B106" s="71" t="s">
        <v>1853</v>
      </c>
      <c r="C106" s="71" t="s">
        <v>1853</v>
      </c>
      <c r="D106" s="71" t="s">
        <v>1911</v>
      </c>
      <c r="E106" s="63"/>
      <c r="F106" s="63"/>
    </row>
    <row r="107" spans="1:6">
      <c r="A107" s="62" t="s">
        <v>105</v>
      </c>
      <c r="B107" s="71" t="s">
        <v>1853</v>
      </c>
      <c r="C107" s="71" t="s">
        <v>1853</v>
      </c>
      <c r="D107" s="71" t="s">
        <v>1912</v>
      </c>
      <c r="E107" s="63"/>
      <c r="F107" s="63"/>
    </row>
    <row r="108" spans="1:6">
      <c r="A108" s="62" t="s">
        <v>197</v>
      </c>
      <c r="B108" s="71" t="s">
        <v>1853</v>
      </c>
      <c r="C108" s="71" t="s">
        <v>1853</v>
      </c>
      <c r="D108" s="71" t="s">
        <v>1913</v>
      </c>
      <c r="E108" s="63"/>
      <c r="F108" s="63"/>
    </row>
    <row r="109" spans="1:6">
      <c r="A109" s="62" t="s">
        <v>307</v>
      </c>
      <c r="B109" s="71" t="s">
        <v>1853</v>
      </c>
      <c r="C109" s="71" t="s">
        <v>1853</v>
      </c>
      <c r="D109" s="71" t="s">
        <v>1914</v>
      </c>
      <c r="E109" s="63"/>
      <c r="F109" s="63"/>
    </row>
    <row r="110" spans="1:6">
      <c r="A110" s="62" t="s">
        <v>308</v>
      </c>
      <c r="B110" s="71" t="s">
        <v>1853</v>
      </c>
      <c r="C110" s="71" t="s">
        <v>1853</v>
      </c>
      <c r="D110" s="71" t="s">
        <v>1914</v>
      </c>
      <c r="E110" s="63"/>
      <c r="F110" s="63"/>
    </row>
    <row r="111" spans="1:6">
      <c r="A111" s="62" t="s">
        <v>196</v>
      </c>
      <c r="B111" s="71" t="s">
        <v>1853</v>
      </c>
      <c r="C111" s="71" t="s">
        <v>1853</v>
      </c>
      <c r="D111" s="71" t="s">
        <v>1857</v>
      </c>
      <c r="E111" s="63"/>
      <c r="F111" s="63"/>
    </row>
    <row r="112" spans="1:6">
      <c r="A112" s="62" t="s">
        <v>254</v>
      </c>
      <c r="B112" s="71" t="s">
        <v>1853</v>
      </c>
      <c r="C112" s="71" t="s">
        <v>1853</v>
      </c>
      <c r="D112" s="71" t="s">
        <v>1915</v>
      </c>
      <c r="E112" s="63"/>
      <c r="F112" s="63"/>
    </row>
    <row r="113" spans="1:6">
      <c r="A113" s="62" t="s">
        <v>200</v>
      </c>
      <c r="B113" s="71" t="s">
        <v>1853</v>
      </c>
      <c r="C113" s="71" t="s">
        <v>1853</v>
      </c>
      <c r="D113" s="71" t="s">
        <v>1916</v>
      </c>
      <c r="E113" s="63"/>
      <c r="F113" s="63"/>
    </row>
    <row r="114" spans="1:6">
      <c r="A114" s="62" t="s">
        <v>194</v>
      </c>
      <c r="B114" s="71" t="s">
        <v>1853</v>
      </c>
      <c r="C114" s="71" t="s">
        <v>1853</v>
      </c>
      <c r="D114" s="71" t="s">
        <v>1917</v>
      </c>
      <c r="E114" s="63"/>
      <c r="F114" s="63"/>
    </row>
    <row r="115" spans="1:6">
      <c r="A115" s="62" t="s">
        <v>186</v>
      </c>
      <c r="B115" s="71" t="s">
        <v>1853</v>
      </c>
      <c r="C115" s="71" t="s">
        <v>1853</v>
      </c>
      <c r="D115" s="71" t="s">
        <v>1918</v>
      </c>
      <c r="E115" s="63"/>
      <c r="F115" s="63"/>
    </row>
    <row r="116" spans="1:6">
      <c r="A116" s="62" t="s">
        <v>249</v>
      </c>
      <c r="B116" s="71" t="s">
        <v>1853</v>
      </c>
      <c r="C116" s="71" t="s">
        <v>1853</v>
      </c>
      <c r="D116" s="71" t="s">
        <v>1919</v>
      </c>
      <c r="E116" s="63"/>
      <c r="F116" s="63"/>
    </row>
    <row r="117" spans="1:6">
      <c r="A117" s="62" t="s">
        <v>225</v>
      </c>
      <c r="B117" s="71" t="s">
        <v>1853</v>
      </c>
      <c r="C117" s="71" t="s">
        <v>1853</v>
      </c>
      <c r="D117" s="71" t="s">
        <v>1920</v>
      </c>
      <c r="E117" s="63"/>
      <c r="F117" s="63"/>
    </row>
    <row r="118" spans="1:6">
      <c r="A118" s="62" t="s">
        <v>232</v>
      </c>
      <c r="B118" s="71" t="s">
        <v>1853</v>
      </c>
      <c r="C118" s="71" t="s">
        <v>1853</v>
      </c>
      <c r="D118" s="71" t="s">
        <v>1921</v>
      </c>
      <c r="E118" s="63"/>
      <c r="F118" s="63"/>
    </row>
    <row r="119" spans="1:6">
      <c r="A119" s="62" t="s">
        <v>162</v>
      </c>
      <c r="B119" s="71" t="s">
        <v>1853</v>
      </c>
      <c r="C119" s="71" t="s">
        <v>1853</v>
      </c>
      <c r="D119" s="71" t="s">
        <v>1922</v>
      </c>
      <c r="E119" s="63"/>
      <c r="F119" s="63"/>
    </row>
    <row r="120" spans="1:6">
      <c r="A120" s="62" t="s">
        <v>183</v>
      </c>
      <c r="B120" s="71" t="s">
        <v>1853</v>
      </c>
      <c r="C120" s="71" t="s">
        <v>1853</v>
      </c>
      <c r="D120" s="71" t="s">
        <v>1923</v>
      </c>
      <c r="E120" s="63"/>
      <c r="F120" s="63"/>
    </row>
    <row r="121" spans="1:6">
      <c r="A121" s="62" t="s">
        <v>234</v>
      </c>
      <c r="B121" s="71" t="s">
        <v>1853</v>
      </c>
      <c r="C121" s="71" t="s">
        <v>1853</v>
      </c>
      <c r="D121" s="71" t="s">
        <v>1924</v>
      </c>
      <c r="E121" s="63"/>
      <c r="F121" s="63"/>
    </row>
    <row r="122" spans="1:6">
      <c r="A122" s="62" t="s">
        <v>235</v>
      </c>
      <c r="B122" s="71" t="s">
        <v>1853</v>
      </c>
      <c r="C122" s="71" t="s">
        <v>1853</v>
      </c>
      <c r="D122" s="71" t="s">
        <v>1924</v>
      </c>
      <c r="E122" s="63"/>
      <c r="F122" s="63"/>
    </row>
    <row r="123" spans="1:6">
      <c r="A123" s="62" t="s">
        <v>306</v>
      </c>
      <c r="B123" s="71" t="s">
        <v>1853</v>
      </c>
      <c r="C123" s="71" t="s">
        <v>1853</v>
      </c>
      <c r="D123" s="71" t="s">
        <v>1924</v>
      </c>
      <c r="E123" s="63"/>
      <c r="F123" s="63"/>
    </row>
    <row r="124" spans="1:6">
      <c r="A124" s="62" t="s">
        <v>173</v>
      </c>
      <c r="B124" s="71" t="s">
        <v>1853</v>
      </c>
      <c r="C124" s="71" t="s">
        <v>1853</v>
      </c>
      <c r="D124" s="71" t="s">
        <v>1925</v>
      </c>
      <c r="E124" s="63"/>
      <c r="F124" s="63"/>
    </row>
    <row r="125" spans="1:6">
      <c r="A125" s="62" t="s">
        <v>219</v>
      </c>
      <c r="B125" s="71" t="s">
        <v>1853</v>
      </c>
      <c r="C125" s="71" t="s">
        <v>1853</v>
      </c>
      <c r="D125" s="71" t="s">
        <v>1926</v>
      </c>
      <c r="E125" s="63"/>
      <c r="F125" s="63"/>
    </row>
    <row r="126" spans="1:6">
      <c r="A126" s="62" t="s">
        <v>177</v>
      </c>
      <c r="B126" s="71" t="s">
        <v>1853</v>
      </c>
      <c r="C126" s="71" t="s">
        <v>1853</v>
      </c>
      <c r="D126" s="71" t="s">
        <v>1927</v>
      </c>
      <c r="E126" s="63"/>
      <c r="F126" s="63"/>
    </row>
    <row r="127" spans="1:6">
      <c r="A127" s="62" t="s">
        <v>178</v>
      </c>
      <c r="B127" s="71" t="s">
        <v>1853</v>
      </c>
      <c r="C127" s="71" t="s">
        <v>1853</v>
      </c>
      <c r="D127" s="71" t="s">
        <v>1927</v>
      </c>
      <c r="E127" s="63"/>
      <c r="F127" s="63"/>
    </row>
    <row r="128" spans="1:6">
      <c r="A128" s="62" t="s">
        <v>231</v>
      </c>
      <c r="B128" s="71" t="s">
        <v>1853</v>
      </c>
      <c r="C128" s="71" t="s">
        <v>1853</v>
      </c>
      <c r="D128" s="71" t="s">
        <v>1928</v>
      </c>
      <c r="E128" s="63"/>
      <c r="F128" s="63"/>
    </row>
    <row r="129" spans="1:6">
      <c r="A129" s="62" t="s">
        <v>212</v>
      </c>
      <c r="B129" s="71" t="s">
        <v>1853</v>
      </c>
      <c r="C129" s="71" t="s">
        <v>1853</v>
      </c>
      <c r="D129" s="71" t="s">
        <v>1929</v>
      </c>
      <c r="E129" s="63"/>
      <c r="F129" s="63"/>
    </row>
    <row r="130" spans="1:6">
      <c r="A130" s="62" t="s">
        <v>214</v>
      </c>
      <c r="B130" s="71" t="s">
        <v>1853</v>
      </c>
      <c r="C130" s="71" t="s">
        <v>1853</v>
      </c>
      <c r="D130" s="71" t="s">
        <v>1929</v>
      </c>
      <c r="E130" s="63"/>
      <c r="F130" s="63"/>
    </row>
    <row r="131" spans="1:6">
      <c r="A131" s="62" t="s">
        <v>160</v>
      </c>
      <c r="B131" s="71" t="s">
        <v>1853</v>
      </c>
      <c r="C131" s="71" t="s">
        <v>1853</v>
      </c>
      <c r="D131" s="71" t="s">
        <v>1930</v>
      </c>
      <c r="E131" s="63"/>
      <c r="F131" s="63"/>
    </row>
    <row r="132" spans="1:6">
      <c r="A132" s="62" t="s">
        <v>159</v>
      </c>
      <c r="B132" s="71" t="s">
        <v>1853</v>
      </c>
      <c r="C132" s="71" t="s">
        <v>1853</v>
      </c>
      <c r="D132" s="71" t="s">
        <v>1931</v>
      </c>
      <c r="E132" s="63"/>
      <c r="F132" s="63"/>
    </row>
    <row r="133" spans="1:6">
      <c r="A133" s="62" t="s">
        <v>304</v>
      </c>
      <c r="B133" s="71" t="s">
        <v>1853</v>
      </c>
      <c r="C133" s="71" t="s">
        <v>1853</v>
      </c>
      <c r="D133" s="71" t="s">
        <v>1932</v>
      </c>
      <c r="E133" s="63"/>
      <c r="F133" s="63"/>
    </row>
    <row r="134" spans="1:6">
      <c r="A134" s="62" t="s">
        <v>305</v>
      </c>
      <c r="B134" s="71" t="s">
        <v>1853</v>
      </c>
      <c r="C134" s="71" t="s">
        <v>1853</v>
      </c>
      <c r="D134" s="71" t="s">
        <v>1932</v>
      </c>
      <c r="E134" s="63"/>
      <c r="F134" s="63"/>
    </row>
    <row r="135" spans="1:6">
      <c r="A135" s="62" t="s">
        <v>179</v>
      </c>
      <c r="B135" s="71" t="s">
        <v>1853</v>
      </c>
      <c r="C135" s="71" t="s">
        <v>1853</v>
      </c>
      <c r="D135" s="71" t="s">
        <v>1933</v>
      </c>
      <c r="E135" s="63"/>
      <c r="F135" s="63"/>
    </row>
    <row r="136" spans="1:6">
      <c r="A136" s="62" t="s">
        <v>258</v>
      </c>
      <c r="B136" s="71" t="s">
        <v>1853</v>
      </c>
      <c r="C136" s="71" t="s">
        <v>1853</v>
      </c>
      <c r="D136" s="71" t="s">
        <v>1934</v>
      </c>
      <c r="E136" s="63"/>
      <c r="F136" s="63"/>
    </row>
    <row r="137" spans="1:6">
      <c r="A137" s="62" t="s">
        <v>233</v>
      </c>
      <c r="B137" s="71" t="s">
        <v>1853</v>
      </c>
      <c r="C137" s="71" t="s">
        <v>1853</v>
      </c>
      <c r="D137" s="71" t="s">
        <v>1935</v>
      </c>
      <c r="E137" s="63"/>
      <c r="F137" s="63"/>
    </row>
    <row r="138" spans="1:6">
      <c r="A138" s="62" t="s">
        <v>237</v>
      </c>
      <c r="B138" s="71" t="s">
        <v>1853</v>
      </c>
      <c r="C138" s="71" t="s">
        <v>1853</v>
      </c>
      <c r="D138" s="71" t="s">
        <v>1935</v>
      </c>
      <c r="E138" s="63"/>
      <c r="F138" s="63"/>
    </row>
    <row r="139" spans="1:6">
      <c r="A139" s="62" t="s">
        <v>302</v>
      </c>
      <c r="B139" s="71" t="s">
        <v>1853</v>
      </c>
      <c r="C139" s="71" t="s">
        <v>1853</v>
      </c>
      <c r="D139" s="71" t="s">
        <v>1936</v>
      </c>
      <c r="E139" s="63"/>
      <c r="F139" s="63"/>
    </row>
    <row r="140" spans="1:6">
      <c r="A140" s="62" t="s">
        <v>174</v>
      </c>
      <c r="B140" s="71" t="s">
        <v>1853</v>
      </c>
      <c r="C140" s="71" t="s">
        <v>1853</v>
      </c>
      <c r="D140" s="71" t="s">
        <v>1937</v>
      </c>
      <c r="E140" s="63"/>
      <c r="F140" s="63"/>
    </row>
    <row r="141" spans="1:6">
      <c r="A141" s="62" t="s">
        <v>222</v>
      </c>
      <c r="B141" s="71" t="s">
        <v>1853</v>
      </c>
      <c r="C141" s="71" t="s">
        <v>1853</v>
      </c>
      <c r="D141" s="71" t="s">
        <v>1938</v>
      </c>
      <c r="E141" s="63"/>
      <c r="F141" s="63"/>
    </row>
    <row r="142" spans="1:6">
      <c r="A142" s="62" t="s">
        <v>257</v>
      </c>
      <c r="B142" s="71" t="s">
        <v>1853</v>
      </c>
      <c r="C142" s="71" t="s">
        <v>1853</v>
      </c>
      <c r="D142" s="71" t="s">
        <v>1939</v>
      </c>
      <c r="E142" s="63"/>
      <c r="F142" s="63"/>
    </row>
    <row r="143" spans="1:6">
      <c r="A143" s="62" t="s">
        <v>255</v>
      </c>
      <c r="B143" s="71" t="s">
        <v>1853</v>
      </c>
      <c r="C143" s="71" t="s">
        <v>1853</v>
      </c>
      <c r="D143" s="71" t="s">
        <v>1939</v>
      </c>
      <c r="E143" s="63"/>
      <c r="F143" s="63"/>
    </row>
    <row r="144" spans="1:6">
      <c r="A144" s="62" t="s">
        <v>182</v>
      </c>
      <c r="B144" s="71" t="s">
        <v>1853</v>
      </c>
      <c r="C144" s="71" t="s">
        <v>1853</v>
      </c>
      <c r="D144" s="71" t="s">
        <v>1940</v>
      </c>
      <c r="E144" s="63"/>
      <c r="F144" s="63"/>
    </row>
    <row r="145" spans="1:6">
      <c r="A145" s="62" t="s">
        <v>155</v>
      </c>
      <c r="B145" s="71" t="s">
        <v>1941</v>
      </c>
      <c r="C145" s="71" t="s">
        <v>1853</v>
      </c>
      <c r="D145" s="71" t="s">
        <v>1942</v>
      </c>
      <c r="E145" s="63"/>
      <c r="F145" s="63"/>
    </row>
    <row r="146" spans="1:6">
      <c r="A146" s="62" t="s">
        <v>187</v>
      </c>
      <c r="B146" s="71" t="s">
        <v>1853</v>
      </c>
      <c r="C146" s="71" t="s">
        <v>1853</v>
      </c>
      <c r="D146" s="71" t="s">
        <v>1943</v>
      </c>
      <c r="E146" s="63"/>
      <c r="F146" s="63"/>
    </row>
    <row r="147" spans="1:6">
      <c r="A147" s="62" t="s">
        <v>220</v>
      </c>
      <c r="B147" s="71" t="s">
        <v>1853</v>
      </c>
      <c r="C147" s="71" t="s">
        <v>1853</v>
      </c>
      <c r="D147" s="71" t="s">
        <v>1944</v>
      </c>
      <c r="E147" s="63"/>
      <c r="F147" s="63"/>
    </row>
    <row r="148" spans="1:6">
      <c r="A148" s="62" t="s">
        <v>164</v>
      </c>
      <c r="B148" s="71" t="s">
        <v>1853</v>
      </c>
      <c r="C148" s="71" t="s">
        <v>1853</v>
      </c>
      <c r="D148" s="71" t="s">
        <v>1945</v>
      </c>
      <c r="E148" s="63"/>
      <c r="F148" s="63"/>
    </row>
    <row r="149" spans="1:6">
      <c r="A149" s="62" t="s">
        <v>215</v>
      </c>
      <c r="B149" s="71" t="s">
        <v>1853</v>
      </c>
      <c r="C149" s="71" t="s">
        <v>1853</v>
      </c>
      <c r="D149" s="71" t="s">
        <v>1946</v>
      </c>
      <c r="E149" s="63"/>
      <c r="F149" s="63"/>
    </row>
    <row r="150" spans="1:6">
      <c r="A150" s="62" t="s">
        <v>189</v>
      </c>
      <c r="B150" s="71" t="s">
        <v>1853</v>
      </c>
      <c r="C150" s="71" t="s">
        <v>1853</v>
      </c>
      <c r="D150" s="71" t="s">
        <v>1947</v>
      </c>
      <c r="E150" s="63"/>
      <c r="F150" s="63"/>
    </row>
    <row r="151" spans="1:6">
      <c r="A151" s="62" t="s">
        <v>303</v>
      </c>
      <c r="B151" s="71" t="s">
        <v>1853</v>
      </c>
      <c r="C151" s="71" t="s">
        <v>1853</v>
      </c>
      <c r="D151" s="71" t="s">
        <v>1948</v>
      </c>
      <c r="E151" s="63"/>
      <c r="F151" s="63"/>
    </row>
    <row r="152" spans="1:6">
      <c r="A152" s="62" t="s">
        <v>167</v>
      </c>
      <c r="B152" s="71" t="s">
        <v>1853</v>
      </c>
      <c r="C152" s="71" t="s">
        <v>1853</v>
      </c>
      <c r="D152" s="71" t="s">
        <v>1949</v>
      </c>
      <c r="E152" s="63"/>
      <c r="F152" s="63"/>
    </row>
    <row r="153" spans="1:6">
      <c r="A153" s="62" t="s">
        <v>166</v>
      </c>
      <c r="B153" s="71" t="s">
        <v>1853</v>
      </c>
      <c r="C153" s="71" t="s">
        <v>1853</v>
      </c>
      <c r="D153" s="71" t="s">
        <v>1950</v>
      </c>
      <c r="E153" s="63"/>
      <c r="F153" s="63"/>
    </row>
    <row r="154" spans="1:6">
      <c r="A154" s="62" t="s">
        <v>188</v>
      </c>
      <c r="B154" s="71" t="s">
        <v>1853</v>
      </c>
      <c r="C154" s="71" t="s">
        <v>1853</v>
      </c>
      <c r="D154" s="71" t="s">
        <v>1951</v>
      </c>
      <c r="E154" s="63"/>
      <c r="F154" s="63"/>
    </row>
    <row r="155" spans="1:6">
      <c r="A155" s="62" t="s">
        <v>165</v>
      </c>
      <c r="B155" s="71" t="s">
        <v>1853</v>
      </c>
      <c r="C155" s="71" t="s">
        <v>1853</v>
      </c>
      <c r="D155" s="71" t="s">
        <v>1952</v>
      </c>
      <c r="E155" s="63"/>
      <c r="F155" s="63"/>
    </row>
    <row r="156" spans="1:6">
      <c r="A156" s="62" t="s">
        <v>223</v>
      </c>
      <c r="B156" s="71" t="s">
        <v>1853</v>
      </c>
      <c r="C156" s="71" t="s">
        <v>1853</v>
      </c>
      <c r="D156" s="71" t="s">
        <v>1953</v>
      </c>
      <c r="E156" s="63"/>
      <c r="F156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Alberto Amigo Castañeda</dc:creator>
  <cp:keywords/>
  <dc:description/>
  <cp:lastModifiedBy>Celso Dias</cp:lastModifiedBy>
  <cp:revision/>
  <dcterms:created xsi:type="dcterms:W3CDTF">2016-08-12T09:49:39Z</dcterms:created>
  <dcterms:modified xsi:type="dcterms:W3CDTF">2026-06-17T18:16:53Z</dcterms:modified>
  <cp:category/>
  <cp:contentStatus/>
</cp:coreProperties>
</file>